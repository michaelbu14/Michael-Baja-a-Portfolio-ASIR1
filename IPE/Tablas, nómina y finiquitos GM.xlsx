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13_ncr:1_{D5654259-0A7B-4413-B52D-34AEE3EFC713}" xr6:coauthVersionLast="47" xr6:coauthVersionMax="47" xr10:uidLastSave="{00000000-0000-0000-0000-000000000000}"/>
  <bookViews>
    <workbookView xWindow="7200" yWindow="5025" windowWidth="16245" windowHeight="9945" firstSheet="8" activeTab="13" xr2:uid="{00000000-000D-0000-FFFF-FFFF00000000}"/>
  </bookViews>
  <sheets>
    <sheet name="2015" sheetId="1" r:id="rId1"/>
    <sheet name="2016" sheetId="2" r:id="rId2"/>
    <sheet name="2017" sheetId="4" r:id="rId3"/>
    <sheet name="2018" sheetId="3" r:id="rId4"/>
    <sheet name="2019" sheetId="20" r:id="rId5"/>
    <sheet name="Hoja1" sheetId="6" r:id="rId6"/>
    <sheet name="Hoja2" sheetId="7" r:id="rId7"/>
    <sheet name="Hoja3" sheetId="8" r:id="rId8"/>
    <sheet name="Hoja4" sheetId="9" r:id="rId9"/>
    <sheet name="Hoja5" sheetId="10" r:id="rId10"/>
    <sheet name="Hoja6" sheetId="11" r:id="rId11"/>
    <sheet name="Hoja7" sheetId="12" r:id="rId12"/>
    <sheet name="Hoja8" sheetId="13" r:id="rId13"/>
    <sheet name="Hoja9" sheetId="14" r:id="rId14"/>
    <sheet name="Hoja10" sheetId="15" r:id="rId15"/>
    <sheet name="finiquito 1" sheetId="18" r:id="rId16"/>
    <sheet name="finiquito 2" sheetId="19"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2" i="14" l="1"/>
  <c r="E45" i="14"/>
  <c r="O7" i="14"/>
  <c r="T7" i="14"/>
  <c r="C52" i="12"/>
  <c r="D45" i="12"/>
  <c r="C52" i="11"/>
  <c r="D45" i="10"/>
  <c r="R9" i="9"/>
  <c r="I58" i="6"/>
  <c r="Q5" i="10"/>
  <c r="C52" i="9"/>
  <c r="H52" i="9" l="1"/>
  <c r="N8" i="8"/>
  <c r="I72" i="15"/>
  <c r="I73" i="15"/>
  <c r="I74" i="15"/>
  <c r="I75" i="15"/>
  <c r="I71" i="15"/>
  <c r="I70" i="15"/>
  <c r="F73" i="15"/>
  <c r="F72" i="15"/>
  <c r="F71" i="15"/>
  <c r="F70" i="15"/>
  <c r="I68" i="15"/>
  <c r="E66" i="15"/>
  <c r="E67" i="15"/>
  <c r="E68" i="15"/>
  <c r="H52" i="15"/>
  <c r="H49" i="15"/>
  <c r="H48" i="15"/>
  <c r="H46" i="15"/>
  <c r="H47" i="15"/>
  <c r="H45" i="15"/>
  <c r="D47" i="15"/>
  <c r="D46" i="15"/>
  <c r="D45" i="15"/>
  <c r="K4" i="15"/>
  <c r="H25" i="15"/>
  <c r="I45" i="14"/>
  <c r="I50" i="14"/>
  <c r="I57" i="14" s="1"/>
  <c r="J71" i="14"/>
  <c r="J72" i="14"/>
  <c r="J73" i="14"/>
  <c r="J74" i="14"/>
  <c r="J70" i="14"/>
  <c r="G73" i="14"/>
  <c r="G72" i="14"/>
  <c r="G71" i="14"/>
  <c r="G70" i="14"/>
  <c r="J68" i="14"/>
  <c r="F66" i="14"/>
  <c r="F67" i="14"/>
  <c r="F68" i="14"/>
  <c r="I48" i="14"/>
  <c r="I46" i="14"/>
  <c r="I47" i="14"/>
  <c r="I52" i="14"/>
  <c r="E47" i="14"/>
  <c r="E46" i="14"/>
  <c r="I25" i="14"/>
  <c r="J40" i="14" s="1"/>
  <c r="L4" i="14"/>
  <c r="D45" i="13"/>
  <c r="I71" i="13"/>
  <c r="I72" i="13"/>
  <c r="I73" i="13"/>
  <c r="I74" i="13"/>
  <c r="F74" i="13"/>
  <c r="H48" i="13"/>
  <c r="H52" i="13"/>
  <c r="E48" i="13"/>
  <c r="K4" i="13"/>
  <c r="M4" i="13" s="1"/>
  <c r="N4" i="13" s="1"/>
  <c r="I74" i="12"/>
  <c r="F74" i="12"/>
  <c r="I73" i="12"/>
  <c r="I71" i="12"/>
  <c r="I72" i="12"/>
  <c r="I70" i="12"/>
  <c r="F73" i="12"/>
  <c r="F72" i="12"/>
  <c r="F71" i="12"/>
  <c r="F70" i="12"/>
  <c r="I68" i="12"/>
  <c r="E66" i="12"/>
  <c r="E67" i="12"/>
  <c r="E68" i="12"/>
  <c r="H52" i="12"/>
  <c r="H48" i="12"/>
  <c r="H50" i="12" s="1"/>
  <c r="H46" i="12"/>
  <c r="H47" i="12"/>
  <c r="H45" i="12"/>
  <c r="D45" i="11"/>
  <c r="D47" i="12"/>
  <c r="D46" i="12"/>
  <c r="K4" i="12"/>
  <c r="H25" i="12"/>
  <c r="I40" i="12" s="1"/>
  <c r="D46" i="10"/>
  <c r="D47" i="10" s="1"/>
  <c r="C52" i="10"/>
  <c r="I74" i="11"/>
  <c r="F74" i="11"/>
  <c r="I71" i="11"/>
  <c r="I72" i="11"/>
  <c r="I73" i="11"/>
  <c r="I70" i="11"/>
  <c r="H52" i="11"/>
  <c r="F73" i="11"/>
  <c r="F72" i="11"/>
  <c r="F71" i="11"/>
  <c r="F70" i="11"/>
  <c r="I68" i="11"/>
  <c r="E66" i="11"/>
  <c r="E67" i="11"/>
  <c r="E68" i="11"/>
  <c r="H45" i="11"/>
  <c r="N7" i="11"/>
  <c r="H48" i="11"/>
  <c r="N4" i="11"/>
  <c r="M4" i="11"/>
  <c r="I74" i="10"/>
  <c r="E67" i="10"/>
  <c r="H52" i="10"/>
  <c r="H48" i="10"/>
  <c r="M5" i="10"/>
  <c r="N5" i="10" s="1"/>
  <c r="H47" i="9"/>
  <c r="I75" i="9"/>
  <c r="I74" i="9"/>
  <c r="I71" i="9"/>
  <c r="I72" i="9"/>
  <c r="I73" i="9"/>
  <c r="I70" i="9"/>
  <c r="I68" i="9"/>
  <c r="E66" i="9"/>
  <c r="H49" i="9"/>
  <c r="H48" i="9"/>
  <c r="D46" i="9"/>
  <c r="H46" i="9" s="1"/>
  <c r="H45" i="9"/>
  <c r="N5" i="9"/>
  <c r="M5" i="9"/>
  <c r="I71" i="8"/>
  <c r="I72" i="8"/>
  <c r="I73" i="8"/>
  <c r="I74" i="8"/>
  <c r="I75" i="8"/>
  <c r="I70" i="8"/>
  <c r="E68" i="8"/>
  <c r="I68" i="8" s="1"/>
  <c r="H52" i="8"/>
  <c r="H48" i="8"/>
  <c r="H47" i="8"/>
  <c r="H46" i="8"/>
  <c r="H45" i="8"/>
  <c r="I75" i="7"/>
  <c r="I74" i="7"/>
  <c r="I73" i="7"/>
  <c r="I72" i="7"/>
  <c r="I71" i="7"/>
  <c r="I70" i="7"/>
  <c r="I68" i="7"/>
  <c r="H52" i="7"/>
  <c r="I40" i="6"/>
  <c r="I40" i="7"/>
  <c r="H49" i="7"/>
  <c r="H48" i="7"/>
  <c r="H47" i="7"/>
  <c r="H46" i="7"/>
  <c r="H45" i="7"/>
  <c r="E68" i="6"/>
  <c r="I40" i="9"/>
  <c r="M5" i="8"/>
  <c r="N5" i="8" s="1"/>
  <c r="I40" i="15"/>
  <c r="I40" i="13"/>
  <c r="I40" i="11"/>
  <c r="I40" i="10"/>
  <c r="I40" i="8"/>
  <c r="I76" i="15" l="1"/>
  <c r="H50" i="15"/>
  <c r="H57" i="15" s="1"/>
  <c r="I58" i="15" s="1"/>
  <c r="J76" i="14"/>
  <c r="E67" i="13"/>
  <c r="I76" i="12"/>
  <c r="H57" i="12"/>
  <c r="I76" i="11"/>
  <c r="D46" i="11"/>
  <c r="H46" i="11" s="1"/>
  <c r="D47" i="11"/>
  <c r="H47" i="11" s="1"/>
  <c r="H50" i="11" s="1"/>
  <c r="H57" i="11" s="1"/>
  <c r="I58" i="11" s="1"/>
  <c r="H46" i="10"/>
  <c r="H45" i="10"/>
  <c r="F72" i="10"/>
  <c r="I72" i="10" s="1"/>
  <c r="E68" i="10"/>
  <c r="I76" i="9"/>
  <c r="H50" i="9"/>
  <c r="H57" i="9" s="1"/>
  <c r="I58" i="9" s="1"/>
  <c r="I76" i="8"/>
  <c r="H50" i="8"/>
  <c r="H57" i="8" s="1"/>
  <c r="I58" i="8" s="1"/>
  <c r="I76" i="7"/>
  <c r="H50" i="7"/>
  <c r="H57" i="7" s="1"/>
  <c r="I58" i="7" s="1"/>
  <c r="J58" i="14"/>
  <c r="I58" i="12"/>
  <c r="D46" i="13" l="1"/>
  <c r="E68" i="13"/>
  <c r="H45" i="13"/>
  <c r="F73" i="10"/>
  <c r="I73" i="10" s="1"/>
  <c r="H47" i="10"/>
  <c r="H50" i="10" s="1"/>
  <c r="H57" i="10" s="1"/>
  <c r="I58" i="10" s="1"/>
  <c r="F70" i="10"/>
  <c r="I70" i="10" s="1"/>
  <c r="I68" i="10"/>
  <c r="E66" i="10"/>
  <c r="S7" i="15"/>
  <c r="N7" i="15"/>
  <c r="S7" i="12"/>
  <c r="N7" i="12"/>
  <c r="S27" i="8"/>
  <c r="N8" i="7"/>
  <c r="E66" i="13" l="1"/>
  <c r="I68" i="13"/>
  <c r="I76" i="13" s="1"/>
  <c r="F70" i="13"/>
  <c r="I70" i="13" s="1"/>
  <c r="D47" i="13"/>
  <c r="H46" i="13"/>
  <c r="F71" i="10"/>
  <c r="I71" i="10" s="1"/>
  <c r="I76" i="10" s="1"/>
  <c r="F55" i="20"/>
  <c r="F54" i="20"/>
  <c r="F53" i="20"/>
  <c r="F52" i="20"/>
  <c r="F46" i="20"/>
  <c r="F44" i="20"/>
  <c r="F42" i="20"/>
  <c r="F40" i="20"/>
  <c r="F38" i="20"/>
  <c r="F36" i="20"/>
  <c r="F34" i="20"/>
  <c r="F71" i="13" l="1"/>
  <c r="F73" i="13"/>
  <c r="F72" i="13"/>
  <c r="H47" i="13"/>
  <c r="H50" i="13" s="1"/>
  <c r="H57" i="13" s="1"/>
  <c r="I58" i="13" s="1"/>
  <c r="M4" i="15"/>
  <c r="N4" i="15" s="1"/>
  <c r="H50" i="6" l="1"/>
  <c r="I76" i="6"/>
  <c r="H57" i="6" l="1"/>
  <c r="M5" i="7"/>
  <c r="F30" i="19" l="1"/>
  <c r="F28" i="19"/>
  <c r="R25" i="19"/>
  <c r="K25" i="19"/>
  <c r="M25" i="19" s="1"/>
  <c r="N25" i="19" s="1"/>
  <c r="F18" i="19"/>
  <c r="F17" i="19"/>
  <c r="Q23" i="19"/>
  <c r="N23" i="19"/>
  <c r="P23" i="19" s="1"/>
  <c r="K23" i="19"/>
  <c r="M23" i="19" s="1"/>
  <c r="R19" i="19"/>
  <c r="M19" i="19"/>
  <c r="N19" i="19" s="1"/>
  <c r="F28" i="18"/>
  <c r="P19" i="18"/>
  <c r="R19" i="18" s="1"/>
  <c r="M19" i="18"/>
  <c r="N19" i="18" s="1"/>
  <c r="F30" i="18"/>
  <c r="F18" i="18"/>
  <c r="F24" i="18" s="1"/>
  <c r="F34" i="19" l="1"/>
  <c r="F34" i="18"/>
  <c r="F36" i="18" s="1"/>
  <c r="R23" i="19"/>
  <c r="F24" i="19"/>
  <c r="F36" i="19" s="1"/>
  <c r="N4" i="14"/>
  <c r="O4" i="14" s="1"/>
  <c r="N5" i="7"/>
  <c r="M4" i="12"/>
  <c r="N4" i="12" s="1"/>
  <c r="F72" i="3"/>
  <c r="F70" i="3"/>
  <c r="F68" i="3"/>
  <c r="F67" i="3"/>
  <c r="F66" i="3"/>
  <c r="F63" i="3"/>
  <c r="F61" i="3"/>
  <c r="F59" i="3"/>
  <c r="F56" i="3"/>
  <c r="F55" i="3"/>
  <c r="F54" i="3"/>
  <c r="F53" i="3"/>
  <c r="F46" i="3"/>
  <c r="F44" i="3"/>
  <c r="F42" i="3"/>
  <c r="F40" i="3"/>
  <c r="F38" i="3"/>
  <c r="F36" i="3"/>
  <c r="F34" i="3"/>
  <c r="F62" i="4"/>
  <c r="F60" i="4"/>
  <c r="F58" i="4"/>
  <c r="F55" i="4"/>
  <c r="F54" i="4"/>
  <c r="F53" i="4"/>
  <c r="F52" i="4"/>
  <c r="F46" i="4"/>
  <c r="F44" i="4"/>
  <c r="F42" i="4"/>
  <c r="F40" i="4"/>
  <c r="F38" i="4"/>
  <c r="F36" i="4"/>
  <c r="F34" i="4"/>
  <c r="F62" i="2"/>
  <c r="F60" i="2"/>
  <c r="F58" i="2"/>
  <c r="F55" i="2"/>
  <c r="F54" i="2"/>
  <c r="F53" i="2"/>
  <c r="F52" i="2"/>
  <c r="F46" i="2"/>
  <c r="F44" i="2"/>
  <c r="F42" i="2"/>
  <c r="F40" i="2"/>
  <c r="F38" i="2"/>
  <c r="F36" i="2"/>
  <c r="F34" i="2"/>
  <c r="F46" i="1"/>
  <c r="F44" i="1"/>
  <c r="F42" i="1"/>
  <c r="F40" i="1"/>
  <c r="F38" i="1"/>
  <c r="F36" i="1"/>
  <c r="F34" i="1"/>
</calcChain>
</file>

<file path=xl/sharedStrings.xml><?xml version="1.0" encoding="utf-8"?>
<sst xmlns="http://schemas.openxmlformats.org/spreadsheetml/2006/main" count="1480" uniqueCount="328">
  <si>
    <t>EMPRESA</t>
  </si>
  <si>
    <t>TRABAJADOR</t>
  </si>
  <si>
    <t>DOMICILIO</t>
  </si>
  <si>
    <t>NIF</t>
  </si>
  <si>
    <t>CIF</t>
  </si>
  <si>
    <t>Número S.S.</t>
  </si>
  <si>
    <t>CCC</t>
  </si>
  <si>
    <t>CATEGORIA</t>
  </si>
  <si>
    <t>GRUPO COTIZACION</t>
  </si>
  <si>
    <t>Periodo liquidación</t>
  </si>
  <si>
    <t>Nº días</t>
  </si>
  <si>
    <t>I. DEVENGOS</t>
  </si>
  <si>
    <t>TOTALES</t>
  </si>
  <si>
    <t>1. Percepciones salariales</t>
  </si>
  <si>
    <t>Salario base</t>
  </si>
  <si>
    <t>Complementos salariales:</t>
  </si>
  <si>
    <t>Horas extraordinarias</t>
  </si>
  <si>
    <t>Horas complementarias</t>
  </si>
  <si>
    <t>Gratificaciones extraordinarias</t>
  </si>
  <si>
    <t>Salario en especie</t>
  </si>
  <si>
    <t>2. Percepciones no salariales</t>
  </si>
  <si>
    <t>Indemnizaciones o Suplidos</t>
  </si>
  <si>
    <t>Prestaciones e indemnizaciones de la Seguridad Social</t>
  </si>
  <si>
    <t>Indemnizaciones por traslados, suspensiones o despidos.</t>
  </si>
  <si>
    <t>Otras percepciones no salariales</t>
  </si>
  <si>
    <t>A. TOTAL DEVENGADO</t>
  </si>
  <si>
    <t>II. DEDUCCIONES</t>
  </si>
  <si>
    <t>1. Aportaciones del trabajador a las cotizacones a la S.S y recaudación conjunta</t>
  </si>
  <si>
    <t>Tipo</t>
  </si>
  <si>
    <t>Contingencias comunes</t>
  </si>
  <si>
    <t>Desempleo</t>
  </si>
  <si>
    <t>Formación Profesional</t>
  </si>
  <si>
    <t>Horas extraordinarias Normales</t>
  </si>
  <si>
    <t>Horas extraordinarias de Fuerza Mayor</t>
  </si>
  <si>
    <t>TOTAL APORTACIONES</t>
  </si>
  <si>
    <t>2. Irpf</t>
  </si>
  <si>
    <t>3. Anticipos</t>
  </si>
  <si>
    <t>4. Valor de los productos recibidos en especie</t>
  </si>
  <si>
    <t>5. Otras deducciones</t>
  </si>
  <si>
    <t>B. TOTAL A DEDUCIR</t>
  </si>
  <si>
    <t>LIQUIDO TOTAL A PERCIBIR (A-B)</t>
  </si>
  <si>
    <t>Firma y sello de la empresa</t>
  </si>
  <si>
    <t>Fecha</t>
  </si>
  <si>
    <t>Recibi</t>
  </si>
  <si>
    <t xml:space="preserve">DETERMINACIÓN DE LAS BASES DE COTIZACIÓN A LA SEGURIDAD SOCIAL Y CONCEPTOS DE RECAUDACIÓN
</t>
  </si>
  <si>
    <t>CONJUNTA Y DE LA BASE SUJETA A RETENCIÓN DEL IRPF Y APORTACIÓN DE LA EMPRESA</t>
  </si>
  <si>
    <t>1. Base de cotización por contingencias comunes</t>
  </si>
  <si>
    <t xml:space="preserve">    Remuneración mensual</t>
  </si>
  <si>
    <t xml:space="preserve">    Prorrata pagas extras</t>
  </si>
  <si>
    <t>Aportación Empresa</t>
  </si>
  <si>
    <t>TOTAL</t>
  </si>
  <si>
    <t>Base</t>
  </si>
  <si>
    <t>2. Base de Contingencias Profesionales y otros conceptos de recaudación conjunta</t>
  </si>
  <si>
    <t>AT y EP</t>
  </si>
  <si>
    <t>FP</t>
  </si>
  <si>
    <t>FOGASA</t>
  </si>
  <si>
    <t xml:space="preserve">3. Cotización por horas extras </t>
  </si>
  <si>
    <t>4. Cotización por horas extras fuerza mayor</t>
  </si>
  <si>
    <t>5. Base sujeta a retención del IRPF</t>
  </si>
  <si>
    <t>Total</t>
  </si>
  <si>
    <t>Grupo de Cotización</t>
  </si>
  <si>
    <t>Grupos profesionales</t>
  </si>
  <si>
    <t>Bases mínimas euros/mes</t>
  </si>
  <si>
    <t>Bases máximas euros/mes</t>
  </si>
  <si>
    <t>nº1</t>
  </si>
  <si>
    <t>Ingenieros, licenciados y personal de alta dirección no incluido en artículo 1.3.c del ET</t>
  </si>
  <si>
    <t>nº2</t>
  </si>
  <si>
    <t>Ingenieros técnicos, peritos y ayudantes titulados</t>
  </si>
  <si>
    <t>nº3</t>
  </si>
  <si>
    <t>Jefes administrativos y de taller</t>
  </si>
  <si>
    <t>nº4</t>
  </si>
  <si>
    <t>Ayudantes no titulados</t>
  </si>
  <si>
    <t>nº5</t>
  </si>
  <si>
    <t>Oficiales administrativos</t>
  </si>
  <si>
    <t>nº6</t>
  </si>
  <si>
    <t>Subalternos</t>
  </si>
  <si>
    <t>nº7</t>
  </si>
  <si>
    <t>Auxiliares administrativos</t>
  </si>
  <si>
    <t xml:space="preserve">Grupo </t>
  </si>
  <si>
    <t>Euros/día</t>
  </si>
  <si>
    <t>nº8</t>
  </si>
  <si>
    <t>Oficiales de primera y segunda</t>
  </si>
  <si>
    <t>nº9</t>
  </si>
  <si>
    <t>Oficiales de tercera y especialistas</t>
  </si>
  <si>
    <t>nº10</t>
  </si>
  <si>
    <t>Peones</t>
  </si>
  <si>
    <t>nº11</t>
  </si>
  <si>
    <t>Trabajadores menores de 18 años, sea cual sea su grupo profesional</t>
  </si>
  <si>
    <t>Tipos de cotización (%)</t>
  </si>
  <si>
    <t>Concepto</t>
  </si>
  <si>
    <t>Empresa</t>
  </si>
  <si>
    <t>Trabajadores</t>
  </si>
  <si>
    <t>Horas extraordinarias por fuerza mayor</t>
  </si>
  <si>
    <t>Horas extraordinarias estructurales y no estructurales</t>
  </si>
  <si>
    <t>Desempleo - contratos indefinidos</t>
  </si>
  <si>
    <t>Desempleo - contratos de duración determinada a tiempo completo y parcial</t>
  </si>
  <si>
    <t>Formación profesional</t>
  </si>
  <si>
    <t>Dietas exentas de cotizar en las siguientes cantidades</t>
  </si>
  <si>
    <t>Pernoctando</t>
  </si>
  <si>
    <t>Sin pernoctar</t>
  </si>
  <si>
    <t>En España</t>
  </si>
  <si>
    <t>53,34 €/día</t>
  </si>
  <si>
    <t>26,67 €/día</t>
  </si>
  <si>
    <t>En el extranjero</t>
  </si>
  <si>
    <t>91,35 €/día</t>
  </si>
  <si>
    <t>48,08 €/día</t>
  </si>
  <si>
    <t>Gastos de locomoción exentos en BCCC</t>
  </si>
  <si>
    <t>transporte</t>
  </si>
  <si>
    <t>peajes</t>
  </si>
  <si>
    <t>aparcamiento</t>
  </si>
  <si>
    <t>Transporte público con factura</t>
  </si>
  <si>
    <t>el total del importe</t>
  </si>
  <si>
    <t xml:space="preserve">Sin factura, cotiza lo que exceda de pagar a 0,19 € el kilómetro más los gastos de peaje y aparcamiento justificados </t>
  </si>
  <si>
    <t>Tipos aplicables a ocupaciones y situaciones en todas las actividades</t>
  </si>
  <si>
    <t>IT</t>
  </si>
  <si>
    <t>IMS</t>
  </si>
  <si>
    <t>NOTA: Se aplica en la tabla de aportaciones de la empresa, en IT y EP según el empleo del trabajador</t>
  </si>
  <si>
    <t>NOTA:</t>
  </si>
  <si>
    <t xml:space="preserve">IMS - incapacidad permanente, muerte y supervivencia </t>
  </si>
  <si>
    <t>Se reflejan en la nómina, en la tabla de las aportaciones de la empresa</t>
  </si>
  <si>
    <t>2015 Topes mínimo y máximo de BCCP</t>
  </si>
  <si>
    <t>NO SE APLICABA EL AÑO 2105</t>
  </si>
  <si>
    <t>756,60 €/MES</t>
  </si>
  <si>
    <t>3,606,00€/MES</t>
  </si>
  <si>
    <t xml:space="preserve">Tope máximo </t>
  </si>
  <si>
    <t xml:space="preserve">Tope mínimo </t>
  </si>
  <si>
    <t xml:space="preserve">2016 Tabla de bases de cotización de contingencias comunes de la Seguridad Social </t>
  </si>
  <si>
    <t xml:space="preserve">2015 Tabla de bases de cotización de contingencias comunes de la Seguridad Social </t>
  </si>
  <si>
    <t>764,40 €/MES</t>
  </si>
  <si>
    <t>3,642,00€/MES</t>
  </si>
  <si>
    <t>2016 Topes mínimo y máximo de BCCP</t>
  </si>
  <si>
    <t>2015 Tipos de cotización (%)</t>
  </si>
  <si>
    <t>2016 Tipos de cotización (%)</t>
  </si>
  <si>
    <t>Tipos aplicables a ocupaciones y situaciones en todas las actividades:</t>
  </si>
  <si>
    <t>A</t>
  </si>
  <si>
    <t>Personal en trabajo exclusivo de oficina.</t>
  </si>
  <si>
    <t>B</t>
  </si>
  <si>
    <t>Representantes de comercio</t>
  </si>
  <si>
    <t>C</t>
  </si>
  <si>
    <t>D</t>
  </si>
  <si>
    <t>Personal de oficios en instalaciones y reparaciones en edificios, obras y trabajos en construcción en general</t>
  </si>
  <si>
    <t>E</t>
  </si>
  <si>
    <t>F</t>
  </si>
  <si>
    <t>Conductores de vehículo automóvil de transporte de mercancías que tenga una capacidad de carga útil superior a 3,5 Tm.</t>
  </si>
  <si>
    <t>G</t>
  </si>
  <si>
    <t>Personal de limpieza en general. Limpieza de edificios y de todo tipo de establecimientos. Limpieza de calles.</t>
  </si>
  <si>
    <t>H</t>
  </si>
  <si>
    <t>Vigilantes, guardas, guardas jurados y personal de seguridad.</t>
  </si>
  <si>
    <t>2017 - Tabla de bases de cotización de contingencias comunes de la Seguridad Social</t>
  </si>
  <si>
    <t>1,199,10 €</t>
  </si>
  <si>
    <t>2017 Tipos de cotización (%)</t>
  </si>
  <si>
    <t>2017 Tipos aplicables a ocupaciones y situaciones en todas las actividades:</t>
  </si>
  <si>
    <t xml:space="preserve">NOTA: </t>
  </si>
  <si>
    <t>Se aplica en la tabla de aportaciones de la empresa, en IT y EP según el empleo del trabajador</t>
  </si>
  <si>
    <t>2018 - Tabla de bases de cotización de contingencias comunes de la Seguridad Social año</t>
  </si>
  <si>
    <t xml:space="preserve">2018 -  Topes mínimo y máximo de BCCP </t>
  </si>
  <si>
    <t>858,60 €/MES</t>
  </si>
  <si>
    <t>3.803,70€/MES</t>
  </si>
  <si>
    <t>2018 Tipos aplicables a ocupaciones y situaciones en todas las actividades:</t>
  </si>
  <si>
    <t>u</t>
  </si>
  <si>
    <t>Espectáculos taurinos</t>
  </si>
  <si>
    <t>v</t>
  </si>
  <si>
    <t>Grupo segundo de cotización al régimen general del mar</t>
  </si>
  <si>
    <t>w</t>
  </si>
  <si>
    <t>Grupo terceroo de cotización al régimen general del mar</t>
  </si>
  <si>
    <t>x</t>
  </si>
  <si>
    <t>Carga y descarga: estiba y desestiba</t>
  </si>
  <si>
    <t>y</t>
  </si>
  <si>
    <t>Trabajos habituales en el interior de minas</t>
  </si>
  <si>
    <t>PRORRATEO DE PAGAS EXTRAORDINARIAS</t>
  </si>
  <si>
    <t>VALOR</t>
  </si>
  <si>
    <t>Nº PAGAS</t>
  </si>
  <si>
    <t>VALOR TOTAL</t>
  </si>
  <si>
    <t>MENUALIDAD</t>
  </si>
  <si>
    <t>NOTA: se mantienen los % que no varían y los que estan ausentes deben consultarse en las tablas</t>
  </si>
  <si>
    <t>Hay una excepción que es la base por contingencias AT y EP de la empresa que tiene muchas opciones</t>
  </si>
  <si>
    <t>pero se tratara como fija según el sector (y aun así pueden variar)</t>
  </si>
  <si>
    <t>Artes gráficas 2%</t>
  </si>
  <si>
    <t>Informáticos 1,50%</t>
  </si>
  <si>
    <t>TEAS 3%</t>
  </si>
  <si>
    <t>Para el resto no especificado  1%</t>
  </si>
  <si>
    <t>DIETAS EXENTOS</t>
  </si>
  <si>
    <t>GASTOS DE LOCOMOCIÓN</t>
  </si>
  <si>
    <t>MODELO DE LIQUIDACION SALDO Y FINIQUITO</t>
  </si>
  <si>
    <t>Parte proporcional paga beneficios :       </t>
  </si>
  <si>
    <t xml:space="preserve">Parte proporcional otras pagas :.              </t>
  </si>
  <si>
    <t xml:space="preserve">Total </t>
  </si>
  <si>
    <t>Habiendo  percibido la cuantía arriba indicada, doy por saldado y finiquitado, mi deuda con la empresa, por toda clase de conceptos, comprometiéndome a no reclamar por concepto alguno que pudiera derivarse de la expresada relación laboral.</t>
  </si>
  <si>
    <t>Total a deducir:</t>
  </si>
  <si>
    <t>Líquido a percibir</t>
  </si>
  <si>
    <t>En presencia sí/no del representante de los trabajadores.</t>
  </si>
  <si>
    <t>Nombre y apellidos del trabajador</t>
  </si>
  <si>
    <r>
      <t xml:space="preserve">(1) En </t>
    </r>
    <r>
      <rPr>
        <sz val="11"/>
        <color rgb="FF0000FF"/>
        <rFont val="Bookman Old Style"/>
        <family val="1"/>
      </rPr>
      <t>MADRID</t>
    </r>
    <r>
      <rPr>
        <sz val="11"/>
        <rFont val="Bookman Old Style"/>
        <family val="1"/>
      </rPr>
      <t xml:space="preserve">..................., a   </t>
    </r>
    <r>
      <rPr>
        <sz val="11"/>
        <color rgb="FF0000FF"/>
        <rFont val="Bookman Old Style"/>
        <family val="1"/>
      </rPr>
      <t>30.</t>
    </r>
    <r>
      <rPr>
        <sz val="11"/>
        <rFont val="Bookman Old Style"/>
        <family val="1"/>
      </rPr>
      <t xml:space="preserve">....   de   </t>
    </r>
    <r>
      <rPr>
        <sz val="11"/>
        <color rgb="FF0000FF"/>
        <rFont val="Bookman Old Style"/>
        <family val="1"/>
      </rPr>
      <t xml:space="preserve">JUNIO </t>
    </r>
    <r>
      <rPr>
        <sz val="11"/>
        <rFont val="Bookman Old Style"/>
        <family val="1"/>
      </rPr>
      <t xml:space="preserve">.............   de </t>
    </r>
    <r>
      <rPr>
        <sz val="11"/>
        <color rgb="FF0000FF"/>
        <rFont val="Bookman Old Style"/>
        <family val="1"/>
      </rPr>
      <t>2018....</t>
    </r>
    <r>
      <rPr>
        <sz val="11"/>
        <rFont val="Bookman Old Style"/>
        <family val="1"/>
      </rPr>
      <t>.</t>
    </r>
  </si>
  <si>
    <r>
      <t xml:space="preserve">(2) Con la firma del presente documento, Don/Doña </t>
    </r>
    <r>
      <rPr>
        <sz val="11"/>
        <color rgb="FF0000FF"/>
        <rFont val="Bookman Old Style"/>
        <family val="1"/>
      </rPr>
      <t>Mateo Lopez Guijarro</t>
    </r>
    <r>
      <rPr>
        <sz val="11"/>
        <color rgb="FF000000"/>
        <rFont val="Bookman Old Style"/>
        <family val="1"/>
      </rPr>
      <t xml:space="preserve"> , confirma la finalización de su relación laboral con la empresa,  y por tanto, extinguido el contrato de trabajo suscrito entre ambos, en fecha 30 de junio de 2018, percibiendo las siguientes cantidades:</t>
    </r>
  </si>
  <si>
    <t>Mateo Lopez Guijarro rescinde su contrato de trabajo en la empresa que trabajaba. Tiene un contrato indefinido ordinario, grupo profesional, oficial administrativo (grupo de cotización 5), y percibe mensualmente una salario base de 1.200€/mes y un plus de antigüedad de 120€/mes. Además, tiene dos pagas extras, con percepción los días 30 de juniop y 31 de diciembre, devengadas semestralmente que incluye el salario base y antigüedad. Fecha de alta en la empresa 31 de mayo de 2014 y fecha de la baja voluntaria después de la jornada de 30 de junio del 2018, cumpliendo con el preaviso legal establecido. Retención IRPF: 10%.</t>
  </si>
  <si>
    <r>
      <t xml:space="preserve">(3 al 6) Salarios del periodo: </t>
    </r>
    <r>
      <rPr>
        <sz val="11"/>
        <color rgb="FF0000FF"/>
        <rFont val="Bookman Old Style"/>
        <family val="1"/>
      </rPr>
      <t>a 30 de  junio de 2018</t>
    </r>
  </si>
  <si>
    <t xml:space="preserve">Salario mensual:   (1.200 + 120)                </t>
  </si>
  <si>
    <t>Parte proporcional pagas extras :      </t>
  </si>
  <si>
    <t>Vacaciones no disfrutadas : </t>
  </si>
  <si>
    <t>Otros : baja voluntaria  del trabajador                                                    </t>
  </si>
  <si>
    <t>(7) Seguridad Social  (CC+desempleo+FP)</t>
  </si>
  <si>
    <r>
      <t xml:space="preserve">(8) IRPF ( </t>
    </r>
    <r>
      <rPr>
        <sz val="11"/>
        <color rgb="FF0000FF"/>
        <rFont val="Bookman Old Style"/>
        <family val="1"/>
      </rPr>
      <t>10%</t>
    </r>
    <r>
      <rPr>
        <sz val="11"/>
        <rFont val="Bookman Old Style"/>
        <family val="1"/>
      </rPr>
      <t>)</t>
    </r>
  </si>
  <si>
    <t>SB</t>
  </si>
  <si>
    <t>C S/ExS</t>
  </si>
  <si>
    <t>Prorrateo</t>
  </si>
  <si>
    <t>total</t>
  </si>
  <si>
    <t> (9) Firma del trabajador</t>
  </si>
  <si>
    <t>(1) Lugar y fecha</t>
  </si>
  <si>
    <t>(2) Declaración del trabajador que no queda saldo pendiente y las partes no tienen nada que reclamarse</t>
  </si>
  <si>
    <t>(3) Percepciones laborales</t>
  </si>
  <si>
    <t>(4) Vacaciones no disfrutadas</t>
  </si>
  <si>
    <t>(5) Parte proporcional de las pagas extraordinarias</t>
  </si>
  <si>
    <t>(6) Otros conceptos (indemnizaciones)</t>
  </si>
  <si>
    <t>(7) Cotizaciones a la seguridad social</t>
  </si>
  <si>
    <t>(8) Retenciones del IRPF</t>
  </si>
  <si>
    <t>(9) Firma</t>
  </si>
  <si>
    <t>FINIQUITO</t>
  </si>
  <si>
    <t>SOLUCIONARIO</t>
  </si>
  <si>
    <r>
      <t xml:space="preserve">(1) En </t>
    </r>
    <r>
      <rPr>
        <sz val="11"/>
        <color rgb="FF0000FF"/>
        <rFont val="Bookman Old Style"/>
        <family val="1"/>
      </rPr>
      <t>Madrid</t>
    </r>
    <r>
      <rPr>
        <sz val="11"/>
        <rFont val="Bookman Old Style"/>
        <family val="1"/>
      </rPr>
      <t xml:space="preserve">..................., a   </t>
    </r>
    <r>
      <rPr>
        <sz val="11"/>
        <color rgb="FF0000FF"/>
        <rFont val="Bookman Old Style"/>
        <family val="1"/>
      </rPr>
      <t>2.</t>
    </r>
    <r>
      <rPr>
        <sz val="11"/>
        <rFont val="Bookman Old Style"/>
        <family val="1"/>
      </rPr>
      <t xml:space="preserve">....   de   </t>
    </r>
    <r>
      <rPr>
        <sz val="11"/>
        <color rgb="FF0000FF"/>
        <rFont val="Bookman Old Style"/>
        <family val="1"/>
      </rPr>
      <t xml:space="preserve"> octubre</t>
    </r>
    <r>
      <rPr>
        <sz val="11"/>
        <rFont val="Bookman Old Style"/>
        <family val="1"/>
      </rPr>
      <t xml:space="preserve">.............   de </t>
    </r>
    <r>
      <rPr>
        <sz val="11"/>
        <color rgb="FF0000FF"/>
        <rFont val="Bookman Old Style"/>
        <family val="1"/>
      </rPr>
      <t>2018....</t>
    </r>
    <r>
      <rPr>
        <sz val="11"/>
        <rFont val="Bookman Old Style"/>
        <family val="1"/>
      </rPr>
      <t>.</t>
    </r>
  </si>
  <si>
    <r>
      <t xml:space="preserve">(2) Con la firma del presente documento, Don/Doña </t>
    </r>
    <r>
      <rPr>
        <sz val="11"/>
        <color rgb="FF0000FF"/>
        <rFont val="Bookman Old Style"/>
        <family val="1"/>
      </rPr>
      <t>Mariano Perez</t>
    </r>
    <r>
      <rPr>
        <sz val="11"/>
        <color rgb="FF000000"/>
        <rFont val="Bookman Old Style"/>
        <family val="1"/>
      </rPr>
      <t xml:space="preserve"> , confirma la finalización de su relación laboral con la empresa,  y por tanto, extinguido el contrato de trabajo suscrito entre ambos, en fecha 30 de junio de 2018, percibiendo las siguientes cantidades:</t>
    </r>
  </si>
  <si>
    <r>
      <t xml:space="preserve">(3 al 6) Salarios del periodo: </t>
    </r>
    <r>
      <rPr>
        <sz val="11"/>
        <color rgb="FF0000FF"/>
        <rFont val="Bookman Old Style"/>
        <family val="1"/>
      </rPr>
      <t>a 2 de octubre de 2018</t>
    </r>
  </si>
  <si>
    <r>
      <t>Salario mensual:  </t>
    </r>
    <r>
      <rPr>
        <sz val="11"/>
        <color rgb="FF0000FF"/>
        <rFont val="Bookman Old Style"/>
        <family val="1"/>
      </rPr>
      <t xml:space="preserve">(dos días)           </t>
    </r>
  </si>
  <si>
    <t>Cálculo del salario mensual</t>
  </si>
  <si>
    <t>Calculo de las vacaciones</t>
  </si>
  <si>
    <t>BCCC</t>
  </si>
  <si>
    <t>SALARIO/DÍA</t>
  </si>
  <si>
    <t>DIAS TRAB</t>
  </si>
  <si>
    <t>DÍAS TRABAJADOS</t>
  </si>
  <si>
    <t>VACACIÓN ANUAL</t>
  </si>
  <si>
    <t>DÍAS NO DISFRUTADOS</t>
  </si>
  <si>
    <t>Vacaciones no disfrutadas :</t>
  </si>
  <si>
    <t>Cálculo de la pagas extraordinarias</t>
  </si>
  <si>
    <t>Otros : despido objetivo                                       </t>
  </si>
  <si>
    <t>Indemnización</t>
  </si>
  <si>
    <t>Mariano Peréz, con 5 años de antigüedad en la empresa, fue despedida el día 2 de octubre de 2018, tras ocupar dos años su puesto de vigilante de seguridad en una industria. Por contrato indefinido ordinario, cobraba un salario base de 480,81 euros, un plus de nocturnidad de 42 euros y dos pagas extras de 480,81 euros cada una. Había disfrutado ya de cinco días de vacaciones. IRPF: 15%</t>
  </si>
  <si>
    <r>
      <t xml:space="preserve">(8) IRPF ( </t>
    </r>
    <r>
      <rPr>
        <sz val="11"/>
        <color rgb="FF0000FF"/>
        <rFont val="Bookman Old Style"/>
        <family val="1"/>
      </rPr>
      <t>15%</t>
    </r>
    <r>
      <rPr>
        <sz val="11"/>
        <rFont val="Bookman Old Style"/>
        <family val="1"/>
      </rPr>
      <t>)</t>
    </r>
  </si>
  <si>
    <t>PRORRATEO DE SALARIO EN ESPECIE</t>
  </si>
  <si>
    <t>USO</t>
  </si>
  <si>
    <t>RATIO</t>
  </si>
  <si>
    <t xml:space="preserve">Realiza la nómina de María Rodríguez que tiene un contrato de trabajo temporal como oficial de 2ª. (grupo de cotización 5) y presta sus servicios en la empresa TRENDE S.A. En el mes de mayo, en curso, percibe las siguientes retribuciones: salario base, 1.350 €/mes; plus de actividad 280 €/mes; dietas 485 € por 5 días de trabajo realizados fuera de su centro de trabajo habitual, en Sevilla, y obligada a pernoctar fuera de su vivienda habitual; horas extraordinarias estructurales 378 €/mes. Tiene derecho a 3 pagas extras del salario base que cobra en nóminas separadas. IRPF: 15%  </t>
  </si>
  <si>
    <t>días</t>
  </si>
  <si>
    <t>valor</t>
  </si>
  <si>
    <t>km</t>
  </si>
  <si>
    <t>MENSUALIDAD</t>
  </si>
  <si>
    <t xml:space="preserve">En la base de contingencias profesionales AT y EP (EMPRESAS), </t>
  </si>
  <si>
    <t>se aplica uno de estos tipos impositivos:</t>
  </si>
  <si>
    <t>2019- Tabla de bases de cotización de contingencias comunes de la Seguridad Social año</t>
  </si>
  <si>
    <t xml:space="preserve">2019 -  Topes mínimo y máximo de BCCP </t>
  </si>
  <si>
    <t>4,070,10 €</t>
  </si>
  <si>
    <t>1,215,90 €</t>
  </si>
  <si>
    <t>1,057,80</t>
  </si>
  <si>
    <t>2019 Tipos aplicables a ocupaciones y situaciones en todas las actividades:</t>
  </si>
  <si>
    <t>Artes gráficas</t>
  </si>
  <si>
    <t>Programación, consultoría y otras actividades relacionadas con la informática</t>
  </si>
  <si>
    <r>
      <t xml:space="preserve">Confeciona la nómina de Marcos García que tiene un </t>
    </r>
    <r>
      <rPr>
        <b/>
        <sz val="11"/>
        <rFont val="Bookman Old Style"/>
        <family val="1"/>
      </rPr>
      <t xml:space="preserve">contrato indefinido </t>
    </r>
    <r>
      <rPr>
        <sz val="11"/>
        <rFont val="Bookman Old Style"/>
        <family val="1"/>
      </rPr>
      <t xml:space="preserve">como director comercial, grupo de cotización 1, de la empresa IREXPRESS S. A. Ha percibido durante el mes de octubre: salario base 2.400€/mes, plus de productividad 1.650 €/mes, cesión anual del uso de un vehícuo de empresa que se valora en  720 €  y horas extraordinarias estructurales 785 €/mes. Tiene derecho a dos pagas extraordinarias de 3.500 € cada una, en junio y diciembre. IRPF 18%.                                                                                                                                                            NOTA: 720 € equivale al 30% del salario base.                                                                                 </t>
    </r>
  </si>
  <si>
    <t>Un trabajador es contratado como auxiliar administrativo, grupo 7 de cotización, en la empresa Comunicaciones GM+GS SLN ubicada en Madrid, con un contrato indefinido desde 2005. Percibe las siguientes retribuciones: Salario Base 960 €.; Antigüedad 30 €.; Gastos de locomoción 250 € sin justificar (Madrid – Sevilla 1068 km.); Dietas120 € (La empresa lo ha enviado 1 día a Sevilla sin pernoctar). Acordo con la empresa que su hora extra se pagaría a 25 €/h, habiendo realizado 4 horas extras normales durante este mes. Recibe anualmente dos pagas extraordinarias de salario base más antigüedad, en los meses de junio y diciembre. Confecciona la nómina del mes de junio, sabiendo que el tipo de IRPF que le corresponde es del 14%</t>
  </si>
  <si>
    <t>Un trabajador con categoría de ayudante no titulado de la empresa FORPRO SLN, grupo de cotización profesional 4, y con 3 años de trabajo en la empresa y contrato indefinido, tiene derecho a percibir una retribución mensual de:
Salario base: 1000 €; Antigüedad: 50 € por trienio; Plus transporte de 50 € 
Tiene derecho a percibir 2 pagas extraordinarias del salario base mas la antigüedad, que se pagarán de forma prorrateada
Ha realizado en el mes de julio horas extras no estructurales por valor de 250 €, y además percibió en el mes 50 € por horas de fuerza mayor.
Retención IRPF del 15 % Calcular su nomina del mes de julio</t>
  </si>
  <si>
    <t>Confecciona la nómina del mes de marzo de un trabajador de la empresa KAOVIDEOJUEGOS, SA, conforme a los siguientes datos: contrato eventual por circunstancias de la producción, grupo profesional, jefe administrativo, (grupo de cotización 3). Percepción mensual. Salario base: 930 €. Plus convenio: 510 €. Plus idioma: 448 € y Plus de distancia: 220 €. En el mes de marzo el trabajador ha cobrado 110 €/mes, en concepto de horas extraordinarias estructurales. Tiene derecho a dos pagas extraordinarias, a percibir en junio y diciembre, por importe del salario base más el plus convenio cada una de ellas. IRPF: 12%</t>
  </si>
  <si>
    <t>Un trabajador contratado como Técnico titulado, grupo 1 de cotización, en la empresa MasMúsica S.L., con un contrato de obra o servicio. Percibe las siguientes retribuciones: salario base 1,230 €; plus de puntualidad, 50 €; dietas 600 € ya que la empresa lo ha enviado 5 días a Berlín teniendo que pernoctar en esa ciudad; Horas extras 23 € por hora teniendo que realizar 7 horas. Recibe anualmente dos pagas extraordinarias de salario base, en los meses de junio y diciembre.                                                                                                                                                                                                                                                               Confecciona la nómina del mes de marzo, sabiendo que el tipo de IRPF que le corresponde es del 24%teniendo que realizar 7 horas. Recibe anualmente dos pagas extraordinarias de salario base, en los meses de junio y diciembre.                                                                                                                                                                                                                                                               Confecciona la nómina del mes de marzo, sabiendo que el tipo de IRPF que le corresponde es del 24%</t>
  </si>
  <si>
    <t>cantidad</t>
  </si>
  <si>
    <t>exento</t>
  </si>
  <si>
    <t>facturas</t>
  </si>
  <si>
    <t xml:space="preserve">El trabajador con contrato temporal, grupo profesional de oficial de 1ª (grupo de cotización 3), percibe mensualmente un salario base de 1.600 €; plus de idioma 200 €; horas extraordinarias de fuerza mayor 150 € y horas extraordinarias estructurales por 80 €. Tiene derecho a tres pagas extraordinarias por importe del salario base. Se aplica el tipo 15% al IRPF. Confeciona la nómina del mes de abril.  </t>
  </si>
  <si>
    <t xml:space="preserve">Confecciona la nómina del mes de abril del año en curso de un trabajador de la empresa GENIO SLN con contrato indefinido, grupo profesional oficial administrativo (grupo de cotización 5). La percepción mensual es salario base 1.200 €, plus de antigüedad 70 €, plus de calidad 50 €, plus de turnicidad 30 € y horas extraordinarias estructurales 50 € y unas dietas de 100 € porque el trabajador tuvo que ir a Bilbao dos días pernoctando en la ciudad. Tiene derecho a 2 pagas extraordinarias por un importe equivalente al salario base. IRPF, 13%. </t>
  </si>
  <si>
    <r>
      <t xml:space="preserve">Confecciona la nómina del mes de marzo del año en curso, de la empresa GENIOS, SA, conforme a los siguientes datos: trabajador con </t>
    </r>
    <r>
      <rPr>
        <b/>
        <sz val="11"/>
        <color rgb="FF0000FF"/>
        <rFont val="Bookman Old Style"/>
        <family val="1"/>
      </rPr>
      <t>contrato indefinido</t>
    </r>
    <r>
      <rPr>
        <sz val="11"/>
        <color rgb="FF0000FF"/>
        <rFont val="Bookman Old Style"/>
        <family val="1"/>
      </rPr>
      <t>, grupo profesional de titulado superior y grupo de cotización 1. La percepción mensual es un salario base de 1.700 €/mes; plus de idioma de 90 €/mes, plus calidad de 100 €/mes y horas extraordinarias estructurales 50 € y horas extraordianrias de fuerza mayor de 100 €, ambas en marzo. El trabajador tiene derecho a dos pagas extraordinarias en junio y diciembre por importe del salario base más el plus de calidad cada una de ellas. IRPF: 14%</t>
    </r>
  </si>
  <si>
    <t>Confeciona la nómina de marzo del año en curso de la empresa GENIOS S. A. de un trabajador con temporal, jefe de taller con grupo de cotización 3 que percibe mensualmente un salario base de 1.872 €, complementos salariales por plus de idioma, 96 €, 180 € por horas extraordinarias estructurales y 40 € por horas extraordinarias de fuerza mayor más por suplidos 80 € para compensar gastos al trabajador. También ha percibido 250 € por un viaje a Huesca (436,6 Kms) presentando factura de gastos  y 100 € por un viaje a Valencia (359,50 kms) sin presentar factura de los gastos. Tiene derecho a dos pagas extraordinarias, en junio y diciembre, por importe de salario base cada una de ellas. IRPF: 14%.</t>
  </si>
  <si>
    <t>GENIOS SA</t>
  </si>
  <si>
    <t>MICHAEL BAJAÑA</t>
  </si>
  <si>
    <t>TITULADO SUPERIOR</t>
  </si>
  <si>
    <t xml:space="preserve">Plus de idioma: </t>
  </si>
  <si>
    <t xml:space="preserve">Plus de calidad: </t>
  </si>
  <si>
    <t xml:space="preserve"> 1 Marzo a 31 Marzo</t>
  </si>
  <si>
    <t>Plus de idioma:</t>
  </si>
  <si>
    <t>Joaquín</t>
  </si>
  <si>
    <t>1 Abril a 30 Abril</t>
  </si>
  <si>
    <t>OFICIAL DE 1ª</t>
  </si>
  <si>
    <t>GENIO SLN</t>
  </si>
  <si>
    <t>OFICIAL ADMINISTRATIVO</t>
  </si>
  <si>
    <t>Plus de antigüedad:</t>
  </si>
  <si>
    <t>Plus de calidad</t>
  </si>
  <si>
    <t>Plus de turnicidad</t>
  </si>
  <si>
    <t>ALUMNO</t>
  </si>
  <si>
    <t>Dietas</t>
  </si>
  <si>
    <t>exento/día</t>
  </si>
  <si>
    <t>cotiza</t>
  </si>
  <si>
    <t>GENIOS S.A.</t>
  </si>
  <si>
    <t>1 de Marzo a 31 de Marzo</t>
  </si>
  <si>
    <t>JEFE DE TALLER</t>
  </si>
  <si>
    <t>Plus de idioma</t>
  </si>
  <si>
    <t>Suplidos</t>
  </si>
  <si>
    <t>Gastos de locomoción</t>
  </si>
  <si>
    <t>Valor</t>
  </si>
  <si>
    <t>Facturas</t>
  </si>
  <si>
    <t>Cotización</t>
  </si>
  <si>
    <t>Sí</t>
  </si>
  <si>
    <t>No</t>
  </si>
  <si>
    <t>MARCOS GARCÍA</t>
  </si>
  <si>
    <t>DIRECTOR COMERCIAL</t>
  </si>
  <si>
    <t>IREXPRESS S.A.</t>
  </si>
  <si>
    <t>1 Octubre a 31 Octubre</t>
  </si>
  <si>
    <t>Plus de productividad</t>
  </si>
  <si>
    <t>privativo</t>
  </si>
  <si>
    <t>TRENDE S. A.</t>
  </si>
  <si>
    <t>MARÍA RODRÍGUEZ</t>
  </si>
  <si>
    <t>OFICIAL DE 2ª</t>
  </si>
  <si>
    <t>1 de Mayo a 31 de Mayo</t>
  </si>
  <si>
    <t>Plus de actividad</t>
  </si>
  <si>
    <t>dietas</t>
  </si>
  <si>
    <t>En este caso en el IRPF se quita lo de las dietas y se le suma el exento, con los gastos de locomoción igual</t>
  </si>
  <si>
    <t>TÉCNICO TITULADO</t>
  </si>
  <si>
    <t>MasMúsica S.L.</t>
  </si>
  <si>
    <t>Plus de puntualidad</t>
  </si>
  <si>
    <t>Alumno</t>
  </si>
  <si>
    <t xml:space="preserve"> </t>
  </si>
  <si>
    <t>exento/cotiza</t>
  </si>
  <si>
    <t>KAOVIDEOJUEGOS S.A.</t>
  </si>
  <si>
    <t>JEFE ADMINISTRATIVO</t>
  </si>
  <si>
    <t>Plus convenio:</t>
  </si>
  <si>
    <t>Plus idioma:</t>
  </si>
  <si>
    <t>Plus de distancia:</t>
  </si>
  <si>
    <t>AUXILIAR ADMINISTRATIVO</t>
  </si>
  <si>
    <t>Comunicaciones GM+GS SLN</t>
  </si>
  <si>
    <t>Antigüedad</t>
  </si>
  <si>
    <t>1 de Junio a 30 de Junio</t>
  </si>
  <si>
    <t>AYUDANTE</t>
  </si>
  <si>
    <t>FORPRO SLN</t>
  </si>
  <si>
    <t>Plus de transporte</t>
  </si>
  <si>
    <t>1 de julio a 31 de julio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</si>
</sst>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0\ &quot;€&quot;;[Red]\-#,##0\ &quot;€&quot;"/>
    <numFmt numFmtId="8" formatCode="#,##0.00\ &quot;€&quot;;[Red]\-#,##0.00\ &quot;€&quot;"/>
    <numFmt numFmtId="44" formatCode="_-* #,##0.00\ &quot;€&quot;_-;\-* #,##0.00\ &quot;€&quot;_-;_-* &quot;-&quot;??\ &quot;€&quot;_-;_-@_-"/>
    <numFmt numFmtId="164" formatCode="#,##0.00\ &quot;€&quot;"/>
  </numFmts>
  <fonts count="39" x14ac:knownFonts="1">
    <font>
      <sz val="11"/>
      <color theme="1"/>
      <name val="Calibri"/>
      <family val="2"/>
      <scheme val="minor"/>
    </font>
    <font>
      <sz val="11"/>
      <color theme="1"/>
      <name val="Calibri"/>
      <family val="2"/>
      <scheme val="minor"/>
    </font>
    <font>
      <b/>
      <sz val="9"/>
      <name val="Bookman Old Style"/>
      <family val="1"/>
    </font>
    <font>
      <sz val="9"/>
      <name val="Bookman Old Style"/>
      <family val="1"/>
    </font>
    <font>
      <sz val="10"/>
      <name val="Bookman Old Style"/>
      <family val="1"/>
    </font>
    <font>
      <sz val="8"/>
      <name val="Bookman Old Style"/>
      <family val="1"/>
    </font>
    <font>
      <b/>
      <sz val="10"/>
      <name val="Bookman Old Style"/>
      <family val="1"/>
    </font>
    <font>
      <b/>
      <sz val="8"/>
      <name val="Bookman Old Style"/>
      <family val="1"/>
    </font>
    <font>
      <sz val="10"/>
      <name val="Arial"/>
      <family val="2"/>
    </font>
    <font>
      <b/>
      <u/>
      <sz val="8"/>
      <name val="Bookman Old Style"/>
      <family val="1"/>
    </font>
    <font>
      <sz val="8"/>
      <name val="Arial"/>
      <family val="2"/>
    </font>
    <font>
      <b/>
      <sz val="11"/>
      <color theme="1"/>
      <name val="Bookman Old Style"/>
      <family val="1"/>
    </font>
    <font>
      <b/>
      <sz val="11"/>
      <color theme="0"/>
      <name val="Bookman Old Style"/>
      <family val="1"/>
    </font>
    <font>
      <b/>
      <sz val="11"/>
      <color rgb="FF808000"/>
      <name val="Bookman Old Style"/>
      <family val="1"/>
    </font>
    <font>
      <b/>
      <sz val="12"/>
      <color theme="0"/>
      <name val="Bookman Old Style"/>
      <family val="1"/>
    </font>
    <font>
      <b/>
      <sz val="12"/>
      <name val="Bookman Old Style"/>
      <family val="1"/>
    </font>
    <font>
      <b/>
      <sz val="12"/>
      <color rgb="FF000000"/>
      <name val="Bookman Old Style"/>
      <family val="1"/>
    </font>
    <font>
      <sz val="11"/>
      <color theme="1"/>
      <name val="Bookman Old Style"/>
      <family val="1"/>
    </font>
    <font>
      <sz val="11"/>
      <color rgb="FF000000"/>
      <name val="Bookman Old Style"/>
      <family val="1"/>
    </font>
    <font>
      <b/>
      <sz val="11"/>
      <name val="Bookman Old Style"/>
      <family val="1"/>
    </font>
    <font>
      <b/>
      <sz val="11"/>
      <color rgb="FFC00000"/>
      <name val="Bookman Old Style"/>
      <family val="1"/>
    </font>
    <font>
      <sz val="11"/>
      <color rgb="FFC00000"/>
      <name val="Bookman Old Style"/>
      <family val="1"/>
    </font>
    <font>
      <b/>
      <sz val="11"/>
      <color rgb="FF000000"/>
      <name val="Bookman Old Style"/>
      <family val="1"/>
    </font>
    <font>
      <b/>
      <sz val="11"/>
      <color theme="1" tint="0.249977111117893"/>
      <name val="Bookman Old Style"/>
      <family val="1"/>
    </font>
    <font>
      <sz val="11"/>
      <color theme="1" tint="0.249977111117893"/>
      <name val="Bookman Old Style"/>
      <family val="1"/>
    </font>
    <font>
      <b/>
      <sz val="9.5"/>
      <color rgb="FF002060"/>
      <name val="Trebuchet MS"/>
      <family val="2"/>
    </font>
    <font>
      <b/>
      <sz val="11"/>
      <color rgb="FF0000FF"/>
      <name val="Bookman Old Style"/>
      <family val="1"/>
    </font>
    <font>
      <b/>
      <sz val="11"/>
      <color rgb="FF0000FF"/>
      <name val="Calibri"/>
      <family val="2"/>
      <scheme val="minor"/>
    </font>
    <font>
      <sz val="11"/>
      <color rgb="FF0000FF"/>
      <name val="Calibri"/>
      <family val="2"/>
      <scheme val="minor"/>
    </font>
    <font>
      <b/>
      <sz val="9"/>
      <color rgb="FF0000FF"/>
      <name val="Bookman Old Style"/>
      <family val="1"/>
    </font>
    <font>
      <sz val="11"/>
      <color rgb="FF0000FF"/>
      <name val="Bookman Old Style"/>
      <family val="1"/>
    </font>
    <font>
      <sz val="11"/>
      <name val="Bookman Old Style"/>
      <family val="1"/>
    </font>
    <font>
      <b/>
      <sz val="11"/>
      <color rgb="FF002060"/>
      <name val="Bookman Old Style"/>
      <family val="1"/>
    </font>
    <font>
      <u val="double"/>
      <sz val="11"/>
      <color rgb="FF000000"/>
      <name val="Bookman Old Style"/>
      <family val="1"/>
    </font>
    <font>
      <sz val="10"/>
      <color rgb="FF0000FF"/>
      <name val="Bookman Old Style"/>
      <family val="1"/>
    </font>
    <font>
      <b/>
      <sz val="11"/>
      <name val="Calibri"/>
      <family val="2"/>
      <scheme val="minor"/>
    </font>
    <font>
      <sz val="9"/>
      <color rgb="FF0000FF"/>
      <name val="Bookman Old Style"/>
      <family val="1"/>
    </font>
    <font>
      <sz val="8"/>
      <color rgb="FF0000FF"/>
      <name val="Bookman Old Style"/>
      <family val="1"/>
    </font>
    <font>
      <sz val="1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8080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theme="1" tint="0.499984740745262"/>
        <bgColor indexed="64"/>
      </patternFill>
    </fill>
  </fills>
  <borders count="49">
    <border>
      <left/>
      <right/>
      <top/>
      <bottom/>
      <diagonal/>
    </border>
    <border>
      <left style="medium">
        <color indexed="64"/>
      </left>
      <right/>
      <top style="medium">
        <color indexed="64"/>
      </top>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top/>
      <bottom style="dotted">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dotted">
        <color indexed="64"/>
      </top>
      <bottom style="dotted">
        <color indexed="64"/>
      </bottom>
      <diagonal/>
    </border>
    <border>
      <left/>
      <right/>
      <top style="thin">
        <color indexed="64"/>
      </top>
      <bottom style="dotted">
        <color indexed="64"/>
      </bottom>
      <diagonal/>
    </border>
    <border>
      <left/>
      <right/>
      <top style="thin">
        <color indexed="64"/>
      </top>
      <bottom/>
      <diagonal/>
    </border>
    <border>
      <left/>
      <right/>
      <top/>
      <bottom style="hair">
        <color indexed="64"/>
      </bottom>
      <diagonal/>
    </border>
    <border>
      <left/>
      <right/>
      <top style="hair">
        <color indexed="64"/>
      </top>
      <bottom style="hair">
        <color indexed="64"/>
      </bottom>
      <diagonal/>
    </border>
    <border>
      <left/>
      <right style="medium">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hair">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style="medium">
        <color indexed="64"/>
      </bottom>
      <diagonal/>
    </border>
    <border>
      <left style="thin">
        <color indexed="64"/>
      </left>
      <right/>
      <top/>
      <bottom style="medium">
        <color indexed="64"/>
      </bottom>
      <diagonal/>
    </border>
  </borders>
  <cellStyleXfs count="2">
    <xf numFmtId="0" fontId="0" fillId="0" borderId="0"/>
    <xf numFmtId="9" fontId="1" fillId="0" borderId="0" applyFont="0" applyFill="0" applyBorder="0" applyAlignment="0" applyProtection="0"/>
  </cellStyleXfs>
  <cellXfs count="464">
    <xf numFmtId="0" fontId="0" fillId="0" borderId="0" xfId="0"/>
    <xf numFmtId="0" fontId="2" fillId="2" borderId="1" xfId="0" applyFont="1" applyFill="1" applyBorder="1"/>
    <xf numFmtId="0" fontId="2" fillId="2" borderId="3" xfId="0" applyFont="1" applyFill="1" applyBorder="1"/>
    <xf numFmtId="0" fontId="2" fillId="2" borderId="5" xfId="0" applyFont="1" applyFill="1" applyBorder="1"/>
    <xf numFmtId="0" fontId="2" fillId="2" borderId="0" xfId="0" applyFont="1" applyFill="1"/>
    <xf numFmtId="0" fontId="2" fillId="2" borderId="0" xfId="0" applyFont="1" applyFill="1" applyAlignment="1">
      <alignment horizontal="justify"/>
    </xf>
    <xf numFmtId="0" fontId="2" fillId="2" borderId="10" xfId="0" applyFont="1" applyFill="1" applyBorder="1"/>
    <xf numFmtId="0" fontId="4" fillId="2" borderId="0" xfId="0" applyFont="1" applyFill="1" applyAlignment="1">
      <alignment vertical="top"/>
    </xf>
    <xf numFmtId="0" fontId="5" fillId="2" borderId="0" xfId="0" applyFont="1" applyFill="1" applyAlignment="1">
      <alignment vertical="top"/>
    </xf>
    <xf numFmtId="0" fontId="3" fillId="2" borderId="1" xfId="0" applyFont="1" applyFill="1" applyBorder="1" applyAlignment="1">
      <alignment vertical="top"/>
    </xf>
    <xf numFmtId="0" fontId="5" fillId="2" borderId="3" xfId="0" applyFont="1" applyFill="1" applyBorder="1" applyAlignment="1">
      <alignment vertical="top"/>
    </xf>
    <xf numFmtId="0" fontId="3" fillId="2" borderId="3" xfId="0" applyFont="1" applyFill="1" applyBorder="1" applyAlignment="1">
      <alignment horizontal="center" vertical="top"/>
    </xf>
    <xf numFmtId="0" fontId="6" fillId="2" borderId="5" xfId="0" applyFont="1" applyFill="1" applyBorder="1" applyAlignment="1">
      <alignment vertical="top"/>
    </xf>
    <xf numFmtId="0" fontId="7" fillId="2" borderId="0" xfId="0" applyFont="1" applyFill="1" applyAlignment="1">
      <alignment vertical="top"/>
    </xf>
    <xf numFmtId="0" fontId="6" fillId="2" borderId="0" xfId="0" applyFont="1" applyFill="1" applyAlignment="1">
      <alignment vertical="top"/>
    </xf>
    <xf numFmtId="0" fontId="7" fillId="2" borderId="12" xfId="0" applyFont="1" applyFill="1" applyBorder="1" applyAlignment="1">
      <alignment horizontal="center" vertical="top"/>
    </xf>
    <xf numFmtId="0" fontId="3" fillId="2" borderId="5" xfId="0" applyFont="1" applyFill="1" applyBorder="1" applyAlignment="1">
      <alignment vertical="top"/>
    </xf>
    <xf numFmtId="0" fontId="3" fillId="2" borderId="0" xfId="0" applyFont="1" applyFill="1" applyAlignment="1">
      <alignment vertical="top"/>
    </xf>
    <xf numFmtId="0" fontId="5" fillId="2" borderId="12" xfId="0" applyFont="1" applyFill="1" applyBorder="1" applyAlignment="1">
      <alignment vertical="top"/>
    </xf>
    <xf numFmtId="0" fontId="3" fillId="2" borderId="13" xfId="0" applyFont="1" applyFill="1" applyBorder="1" applyAlignment="1">
      <alignment vertical="top"/>
    </xf>
    <xf numFmtId="0" fontId="4" fillId="2" borderId="13" xfId="0" applyFont="1" applyFill="1" applyBorder="1" applyAlignment="1">
      <alignment vertical="top"/>
    </xf>
    <xf numFmtId="0" fontId="5" fillId="2" borderId="13" xfId="0" applyFont="1" applyFill="1" applyBorder="1" applyAlignment="1">
      <alignment vertical="top"/>
    </xf>
    <xf numFmtId="164" fontId="3" fillId="2" borderId="0" xfId="0" applyNumberFormat="1" applyFont="1" applyFill="1" applyAlignment="1">
      <alignment vertical="top"/>
    </xf>
    <xf numFmtId="0" fontId="3" fillId="2" borderId="14" xfId="0" applyFont="1" applyFill="1" applyBorder="1" applyAlignment="1">
      <alignment vertical="top"/>
    </xf>
    <xf numFmtId="0" fontId="5" fillId="2" borderId="17" xfId="0" applyFont="1" applyFill="1" applyBorder="1" applyAlignment="1">
      <alignment vertical="top"/>
    </xf>
    <xf numFmtId="0" fontId="4" fillId="2" borderId="17" xfId="0" applyFont="1" applyFill="1" applyBorder="1" applyAlignment="1">
      <alignment vertical="top"/>
    </xf>
    <xf numFmtId="0" fontId="4" fillId="2" borderId="18" xfId="0" applyFont="1" applyFill="1" applyBorder="1" applyAlignment="1">
      <alignment vertical="top"/>
    </xf>
    <xf numFmtId="0" fontId="4" fillId="2" borderId="14" xfId="0" applyFont="1" applyFill="1" applyBorder="1" applyAlignment="1">
      <alignment vertical="top"/>
    </xf>
    <xf numFmtId="0" fontId="6" fillId="2" borderId="13" xfId="0" applyFont="1" applyFill="1" applyBorder="1" applyAlignment="1">
      <alignment vertical="top"/>
    </xf>
    <xf numFmtId="0" fontId="7" fillId="2" borderId="13" xfId="0" applyFont="1" applyFill="1" applyBorder="1" applyAlignment="1">
      <alignment vertical="top"/>
    </xf>
    <xf numFmtId="164" fontId="7" fillId="2" borderId="11" xfId="0" applyNumberFormat="1" applyFont="1" applyFill="1" applyBorder="1" applyAlignment="1">
      <alignment vertical="top"/>
    </xf>
    <xf numFmtId="0" fontId="4" fillId="2" borderId="5" xfId="0" applyFont="1" applyFill="1" applyBorder="1" applyAlignment="1">
      <alignment vertical="top"/>
    </xf>
    <xf numFmtId="0" fontId="7" fillId="2" borderId="12" xfId="0" applyFont="1" applyFill="1" applyBorder="1" applyAlignment="1">
      <alignment vertical="top"/>
    </xf>
    <xf numFmtId="0" fontId="3" fillId="2" borderId="0" xfId="0" applyFont="1" applyFill="1" applyAlignment="1">
      <alignment horizontal="center" vertical="top"/>
    </xf>
    <xf numFmtId="0" fontId="3" fillId="2" borderId="20" xfId="0" applyFont="1" applyFill="1" applyBorder="1" applyAlignment="1">
      <alignment vertical="top"/>
    </xf>
    <xf numFmtId="0" fontId="3" fillId="2" borderId="21" xfId="0" applyFont="1" applyFill="1" applyBorder="1" applyAlignment="1">
      <alignment vertical="top"/>
    </xf>
    <xf numFmtId="0" fontId="3" fillId="2" borderId="17" xfId="0" applyFont="1" applyFill="1" applyBorder="1" applyAlignment="1">
      <alignment vertical="top"/>
    </xf>
    <xf numFmtId="0" fontId="2" fillId="2" borderId="13" xfId="0" applyFont="1" applyFill="1" applyBorder="1" applyAlignment="1">
      <alignment vertical="top"/>
    </xf>
    <xf numFmtId="164" fontId="2" fillId="2" borderId="6" xfId="0" applyNumberFormat="1" applyFont="1" applyFill="1" applyBorder="1" applyAlignment="1">
      <alignment vertical="top"/>
    </xf>
    <xf numFmtId="164" fontId="4" fillId="2" borderId="0" xfId="0" applyNumberFormat="1" applyFont="1" applyFill="1" applyAlignment="1">
      <alignment vertical="top"/>
    </xf>
    <xf numFmtId="164" fontId="2" fillId="2" borderId="14" xfId="0" applyNumberFormat="1" applyFont="1" applyFill="1" applyBorder="1" applyAlignment="1">
      <alignment vertical="top"/>
    </xf>
    <xf numFmtId="164" fontId="2" fillId="2" borderId="11" xfId="0" applyNumberFormat="1" applyFont="1" applyFill="1" applyBorder="1" applyAlignment="1">
      <alignment vertical="top"/>
    </xf>
    <xf numFmtId="0" fontId="3" fillId="2" borderId="12" xfId="0" applyFont="1" applyFill="1" applyBorder="1" applyAlignment="1">
      <alignment vertical="top"/>
    </xf>
    <xf numFmtId="0" fontId="4" fillId="2" borderId="8" xfId="0" applyFont="1" applyFill="1" applyBorder="1" applyAlignment="1">
      <alignment vertical="top"/>
    </xf>
    <xf numFmtId="0" fontId="5" fillId="2" borderId="10" xfId="0" applyFont="1" applyFill="1" applyBorder="1" applyAlignment="1">
      <alignment vertical="top"/>
    </xf>
    <xf numFmtId="0" fontId="4" fillId="2" borderId="10" xfId="0" applyFont="1" applyFill="1" applyBorder="1" applyAlignment="1">
      <alignment vertical="top"/>
    </xf>
    <xf numFmtId="0" fontId="5" fillId="2" borderId="11" xfId="0" applyFont="1" applyFill="1" applyBorder="1" applyAlignment="1">
      <alignment vertical="top"/>
    </xf>
    <xf numFmtId="164" fontId="5" fillId="2" borderId="0" xfId="0" applyNumberFormat="1" applyFont="1" applyFill="1" applyAlignment="1">
      <alignment vertical="top"/>
    </xf>
    <xf numFmtId="164" fontId="3" fillId="2" borderId="0" xfId="0" applyNumberFormat="1" applyFont="1" applyFill="1" applyAlignment="1">
      <alignment horizontal="center" vertical="top"/>
    </xf>
    <xf numFmtId="0" fontId="2" fillId="2" borderId="0" xfId="0" applyFont="1" applyFill="1" applyAlignment="1">
      <alignment vertical="top"/>
    </xf>
    <xf numFmtId="0" fontId="4" fillId="2" borderId="20" xfId="0" applyFont="1" applyFill="1" applyBorder="1" applyAlignment="1">
      <alignment vertical="top"/>
    </xf>
    <xf numFmtId="164" fontId="5" fillId="2" borderId="21" xfId="0" applyNumberFormat="1" applyFont="1" applyFill="1" applyBorder="1" applyAlignment="1">
      <alignment vertical="top"/>
    </xf>
    <xf numFmtId="164" fontId="5" fillId="2" borderId="20" xfId="0" applyNumberFormat="1" applyFont="1" applyFill="1" applyBorder="1" applyAlignment="1">
      <alignment vertical="top"/>
    </xf>
    <xf numFmtId="164" fontId="2" fillId="2" borderId="0" xfId="0" applyNumberFormat="1" applyFont="1" applyFill="1" applyAlignment="1">
      <alignment horizontal="center" vertical="top"/>
    </xf>
    <xf numFmtId="164" fontId="2" fillId="2" borderId="24" xfId="0" applyNumberFormat="1" applyFont="1" applyFill="1" applyBorder="1" applyAlignment="1">
      <alignment vertical="top"/>
    </xf>
    <xf numFmtId="0" fontId="8" fillId="2" borderId="8" xfId="0" applyFont="1" applyFill="1" applyBorder="1" applyAlignment="1">
      <alignment vertical="top"/>
    </xf>
    <xf numFmtId="0" fontId="10" fillId="2" borderId="10" xfId="0" applyFont="1" applyFill="1" applyBorder="1" applyAlignment="1">
      <alignment vertical="top"/>
    </xf>
    <xf numFmtId="0" fontId="8" fillId="2" borderId="10" xfId="0" applyFont="1" applyFill="1" applyBorder="1" applyAlignment="1">
      <alignment vertical="top"/>
    </xf>
    <xf numFmtId="0" fontId="10" fillId="2" borderId="11" xfId="0" applyFont="1" applyFill="1" applyBorder="1" applyAlignment="1">
      <alignment vertical="top"/>
    </xf>
    <xf numFmtId="0" fontId="8" fillId="2" borderId="0" xfId="0" applyFont="1" applyFill="1" applyAlignment="1">
      <alignment vertical="top"/>
    </xf>
    <xf numFmtId="0" fontId="10" fillId="2" borderId="0" xfId="0" applyFont="1" applyFill="1" applyAlignment="1">
      <alignment vertical="top"/>
    </xf>
    <xf numFmtId="0" fontId="11" fillId="0" borderId="0" xfId="0" applyFont="1" applyAlignment="1">
      <alignment vertical="center" wrapText="1"/>
    </xf>
    <xf numFmtId="0" fontId="11" fillId="0" borderId="0" xfId="0" applyFont="1" applyAlignment="1">
      <alignment horizontal="center" vertical="center" wrapText="1"/>
    </xf>
    <xf numFmtId="44" fontId="11" fillId="0" borderId="0" xfId="0" applyNumberFormat="1" applyFont="1" applyAlignment="1">
      <alignment horizontal="center" vertical="center" wrapText="1"/>
    </xf>
    <xf numFmtId="0" fontId="12" fillId="3" borderId="25" xfId="0" applyFont="1" applyFill="1" applyBorder="1" applyAlignment="1">
      <alignment horizontal="center" wrapText="1"/>
    </xf>
    <xf numFmtId="0" fontId="11" fillId="4" borderId="25" xfId="0" applyFont="1" applyFill="1" applyBorder="1" applyAlignment="1">
      <alignment horizontal="center" vertical="center" wrapText="1"/>
    </xf>
    <xf numFmtId="0" fontId="17" fillId="4" borderId="25" xfId="0" applyFont="1" applyFill="1" applyBorder="1" applyAlignment="1">
      <alignment horizontal="left"/>
    </xf>
    <xf numFmtId="10" fontId="17" fillId="4" borderId="25" xfId="0" applyNumberFormat="1" applyFont="1" applyFill="1" applyBorder="1" applyAlignment="1">
      <alignment horizontal="center"/>
    </xf>
    <xf numFmtId="10" fontId="11" fillId="4" borderId="25" xfId="0" applyNumberFormat="1" applyFont="1" applyFill="1" applyBorder="1" applyAlignment="1">
      <alignment horizontal="center"/>
    </xf>
    <xf numFmtId="0" fontId="18" fillId="4" borderId="25" xfId="0" applyFont="1" applyFill="1" applyBorder="1" applyAlignment="1">
      <alignment horizontal="left" wrapText="1"/>
    </xf>
    <xf numFmtId="0" fontId="11" fillId="4" borderId="25" xfId="0" applyFont="1" applyFill="1" applyBorder="1" applyAlignment="1">
      <alignment vertical="center" wrapText="1"/>
    </xf>
    <xf numFmtId="0" fontId="17" fillId="4" borderId="25" xfId="0" applyFont="1" applyFill="1" applyBorder="1" applyAlignment="1">
      <alignment vertical="center" wrapText="1"/>
    </xf>
    <xf numFmtId="0" fontId="12" fillId="5" borderId="25" xfId="0" applyFont="1" applyFill="1" applyBorder="1" applyAlignment="1">
      <alignment vertical="center" wrapText="1"/>
    </xf>
    <xf numFmtId="0" fontId="12" fillId="3" borderId="28" xfId="0" applyFont="1" applyFill="1" applyBorder="1" applyAlignment="1">
      <alignment vertical="center" wrapText="1"/>
    </xf>
    <xf numFmtId="0" fontId="12" fillId="3" borderId="28" xfId="0" applyFont="1" applyFill="1" applyBorder="1" applyAlignment="1">
      <alignment horizontal="left" vertical="center" wrapText="1"/>
    </xf>
    <xf numFmtId="0" fontId="20" fillId="4" borderId="25" xfId="0" applyFont="1" applyFill="1" applyBorder="1" applyAlignment="1">
      <alignment horizontal="center" vertical="center" wrapText="1"/>
    </xf>
    <xf numFmtId="0" fontId="21" fillId="4" borderId="25" xfId="0" applyFont="1" applyFill="1" applyBorder="1" applyAlignment="1">
      <alignment horizontal="left"/>
    </xf>
    <xf numFmtId="10" fontId="21" fillId="4" borderId="25" xfId="0" applyNumberFormat="1" applyFont="1" applyFill="1" applyBorder="1" applyAlignment="1">
      <alignment horizontal="center"/>
    </xf>
    <xf numFmtId="10" fontId="20" fillId="4" borderId="25" xfId="0" applyNumberFormat="1" applyFont="1" applyFill="1" applyBorder="1" applyAlignment="1">
      <alignment horizontal="center"/>
    </xf>
    <xf numFmtId="0" fontId="21" fillId="4" borderId="25" xfId="0" applyFont="1" applyFill="1" applyBorder="1" applyAlignment="1">
      <alignment horizontal="left" wrapText="1"/>
    </xf>
    <xf numFmtId="0" fontId="20" fillId="4" borderId="25" xfId="0" applyFont="1" applyFill="1" applyBorder="1" applyAlignment="1">
      <alignment vertical="center" wrapText="1"/>
    </xf>
    <xf numFmtId="0" fontId="21" fillId="4" borderId="25" xfId="0" applyFont="1" applyFill="1" applyBorder="1" applyAlignment="1">
      <alignment vertical="center" wrapText="1"/>
    </xf>
    <xf numFmtId="0" fontId="20" fillId="5" borderId="25" xfId="0" applyFont="1" applyFill="1" applyBorder="1" applyAlignment="1">
      <alignment vertical="center" wrapText="1"/>
    </xf>
    <xf numFmtId="0" fontId="20" fillId="6" borderId="25" xfId="0" applyFont="1" applyFill="1" applyBorder="1" applyAlignment="1">
      <alignment horizontal="center" wrapText="1"/>
    </xf>
    <xf numFmtId="0" fontId="17" fillId="0" borderId="0" xfId="0" applyFont="1"/>
    <xf numFmtId="0" fontId="11" fillId="4" borderId="25" xfId="0" applyFont="1" applyFill="1" applyBorder="1" applyAlignment="1">
      <alignment horizontal="left"/>
    </xf>
    <xf numFmtId="0" fontId="22" fillId="4" borderId="25" xfId="0" applyFont="1" applyFill="1" applyBorder="1" applyAlignment="1">
      <alignment horizontal="left" wrapText="1"/>
    </xf>
    <xf numFmtId="0" fontId="23" fillId="8" borderId="25" xfId="0" applyFont="1" applyFill="1" applyBorder="1" applyAlignment="1">
      <alignment horizontal="center" vertical="center" wrapText="1"/>
    </xf>
    <xf numFmtId="0" fontId="24" fillId="8" borderId="35" xfId="0" applyFont="1" applyFill="1" applyBorder="1" applyAlignment="1">
      <alignment horizontal="left" vertical="center" wrapText="1"/>
    </xf>
    <xf numFmtId="10" fontId="24" fillId="8" borderId="25" xfId="0" applyNumberFormat="1" applyFont="1" applyFill="1" applyBorder="1" applyAlignment="1">
      <alignment horizontal="center" vertical="center" wrapText="1"/>
    </xf>
    <xf numFmtId="10" fontId="23" fillId="8" borderId="35" xfId="0" applyNumberFormat="1" applyFont="1" applyFill="1" applyBorder="1" applyAlignment="1">
      <alignment horizontal="center" vertical="center" wrapText="1"/>
    </xf>
    <xf numFmtId="0" fontId="17" fillId="4" borderId="25" xfId="0" applyFont="1" applyFill="1" applyBorder="1" applyAlignment="1">
      <alignment horizontal="left" vertical="center" wrapText="1"/>
    </xf>
    <xf numFmtId="10" fontId="17" fillId="4" borderId="25" xfId="0" applyNumberFormat="1" applyFont="1" applyFill="1" applyBorder="1" applyAlignment="1">
      <alignment horizontal="center" vertical="center" wrapText="1"/>
    </xf>
    <xf numFmtId="10" fontId="11" fillId="4" borderId="26" xfId="0" applyNumberFormat="1" applyFont="1" applyFill="1" applyBorder="1" applyAlignment="1">
      <alignment horizontal="center" vertical="center" wrapText="1"/>
    </xf>
    <xf numFmtId="0" fontId="17" fillId="4" borderId="27" xfId="0" applyFont="1" applyFill="1" applyBorder="1" applyAlignment="1">
      <alignment horizontal="left" vertical="center" wrapText="1"/>
    </xf>
    <xf numFmtId="0" fontId="2" fillId="2" borderId="5" xfId="0" applyFont="1" applyFill="1" applyBorder="1" applyAlignment="1">
      <alignment vertical="top"/>
    </xf>
    <xf numFmtId="0" fontId="25" fillId="0" borderId="0" xfId="0" applyFont="1" applyAlignment="1">
      <alignment vertical="center"/>
    </xf>
    <xf numFmtId="0" fontId="27" fillId="0" borderId="25" xfId="0" applyFont="1" applyBorder="1" applyAlignment="1">
      <alignment horizontal="center"/>
    </xf>
    <xf numFmtId="164" fontId="27" fillId="0" borderId="25" xfId="0" applyNumberFormat="1" applyFont="1" applyBorder="1" applyAlignment="1">
      <alignment horizontal="center"/>
    </xf>
    <xf numFmtId="0" fontId="28" fillId="0" borderId="1" xfId="0" applyFont="1" applyBorder="1"/>
    <xf numFmtId="0" fontId="0" fillId="0" borderId="3" xfId="0" applyBorder="1"/>
    <xf numFmtId="0" fontId="0" fillId="0" borderId="22" xfId="0" applyBorder="1"/>
    <xf numFmtId="0" fontId="28" fillId="0" borderId="5" xfId="0" applyFont="1" applyBorder="1"/>
    <xf numFmtId="0" fontId="0" fillId="0" borderId="12" xfId="0" applyBorder="1"/>
    <xf numFmtId="0" fontId="0" fillId="0" borderId="10" xfId="0" applyBorder="1"/>
    <xf numFmtId="0" fontId="0" fillId="0" borderId="11" xfId="0" applyBorder="1"/>
    <xf numFmtId="0" fontId="28" fillId="0" borderId="5" xfId="0" applyFont="1" applyBorder="1" applyAlignment="1">
      <alignment horizontal="left"/>
    </xf>
    <xf numFmtId="0" fontId="28" fillId="0" borderId="8" xfId="0" applyFont="1" applyBorder="1" applyAlignment="1">
      <alignment horizontal="left"/>
    </xf>
    <xf numFmtId="10" fontId="10" fillId="2" borderId="0" xfId="0" applyNumberFormat="1" applyFont="1" applyFill="1" applyAlignment="1">
      <alignment vertical="top"/>
    </xf>
    <xf numFmtId="0" fontId="28" fillId="0" borderId="0" xfId="0" applyFont="1" applyAlignment="1">
      <alignment vertical="center"/>
    </xf>
    <xf numFmtId="0" fontId="28" fillId="0" borderId="0" xfId="0" applyFont="1" applyAlignment="1">
      <alignment horizontal="right"/>
    </xf>
    <xf numFmtId="0" fontId="28" fillId="0" borderId="10" xfId="0" applyFont="1" applyBorder="1" applyAlignment="1">
      <alignment horizontal="right"/>
    </xf>
    <xf numFmtId="0" fontId="28" fillId="0" borderId="0" xfId="0" applyFont="1"/>
    <xf numFmtId="0" fontId="2" fillId="2" borderId="8" xfId="0" applyFont="1" applyFill="1" applyBorder="1"/>
    <xf numFmtId="0" fontId="29" fillId="2" borderId="11" xfId="0" applyFont="1" applyFill="1" applyBorder="1" applyAlignment="1">
      <alignment horizontal="center"/>
    </xf>
    <xf numFmtId="0" fontId="29" fillId="2" borderId="9" xfId="0" applyFont="1" applyFill="1" applyBorder="1"/>
    <xf numFmtId="0" fontId="29" fillId="2" borderId="10" xfId="0" applyFont="1" applyFill="1" applyBorder="1" applyAlignment="1">
      <alignment horizontal="center"/>
    </xf>
    <xf numFmtId="0" fontId="29" fillId="2" borderId="10" xfId="0" applyFont="1" applyFill="1" applyBorder="1" applyAlignment="1">
      <alignment horizontal="center" vertical="center"/>
    </xf>
    <xf numFmtId="0" fontId="26" fillId="0" borderId="25" xfId="0" applyFont="1" applyBorder="1" applyAlignment="1">
      <alignment horizontal="center"/>
    </xf>
    <xf numFmtId="0" fontId="17" fillId="0" borderId="0" xfId="0" applyFont="1" applyAlignment="1">
      <alignment vertical="center"/>
    </xf>
    <xf numFmtId="0" fontId="17" fillId="0" borderId="22" xfId="0" applyFont="1" applyBorder="1"/>
    <xf numFmtId="0" fontId="17" fillId="0" borderId="12" xfId="0" applyFont="1" applyBorder="1"/>
    <xf numFmtId="0" fontId="17" fillId="0" borderId="10" xfId="0" applyFont="1" applyBorder="1"/>
    <xf numFmtId="0" fontId="17" fillId="0" borderId="11" xfId="0" applyFont="1" applyBorder="1"/>
    <xf numFmtId="0" fontId="31" fillId="2" borderId="0" xfId="0" applyFont="1" applyFill="1" applyAlignment="1">
      <alignment vertical="top"/>
    </xf>
    <xf numFmtId="0" fontId="22" fillId="0" borderId="0" xfId="0" applyFont="1" applyAlignment="1">
      <alignment horizontal="center" vertical="center"/>
    </xf>
    <xf numFmtId="0" fontId="32" fillId="0" borderId="0" xfId="0" applyFont="1" applyAlignment="1">
      <alignment vertical="center"/>
    </xf>
    <xf numFmtId="0" fontId="18" fillId="0" borderId="0" xfId="0" applyFont="1" applyAlignment="1">
      <alignment vertical="center"/>
    </xf>
    <xf numFmtId="0" fontId="18" fillId="0" borderId="1" xfId="0" applyFont="1" applyBorder="1" applyAlignment="1">
      <alignment vertical="center"/>
    </xf>
    <xf numFmtId="0" fontId="31" fillId="2" borderId="3" xfId="0" applyFont="1" applyFill="1" applyBorder="1" applyAlignment="1">
      <alignment vertical="top"/>
    </xf>
    <xf numFmtId="0" fontId="31" fillId="2" borderId="22" xfId="0" applyFont="1" applyFill="1" applyBorder="1" applyAlignment="1">
      <alignment vertical="top"/>
    </xf>
    <xf numFmtId="0" fontId="18" fillId="0" borderId="5" xfId="0" applyFont="1" applyBorder="1" applyAlignment="1">
      <alignment vertical="center"/>
    </xf>
    <xf numFmtId="0" fontId="31" fillId="2" borderId="12" xfId="0" applyFont="1" applyFill="1" applyBorder="1" applyAlignment="1">
      <alignment vertical="top"/>
    </xf>
    <xf numFmtId="164" fontId="31" fillId="2" borderId="39" xfId="0" applyNumberFormat="1" applyFont="1" applyFill="1" applyBorder="1" applyAlignment="1">
      <alignment vertical="top"/>
    </xf>
    <xf numFmtId="164" fontId="31" fillId="2" borderId="20" xfId="0" applyNumberFormat="1" applyFont="1" applyFill="1" applyBorder="1" applyAlignment="1">
      <alignment vertical="top"/>
    </xf>
    <xf numFmtId="0" fontId="31" fillId="2" borderId="0" xfId="0" applyFont="1" applyFill="1" applyAlignment="1">
      <alignment horizontal="left" vertical="top"/>
    </xf>
    <xf numFmtId="0" fontId="18" fillId="0" borderId="8" xfId="0" applyFont="1" applyBorder="1" applyAlignment="1">
      <alignment vertical="center"/>
    </xf>
    <xf numFmtId="0" fontId="31" fillId="2" borderId="10" xfId="0" applyFont="1" applyFill="1" applyBorder="1" applyAlignment="1">
      <alignment vertical="top"/>
    </xf>
    <xf numFmtId="0" fontId="31" fillId="2" borderId="11" xfId="0" applyFont="1" applyFill="1" applyBorder="1" applyAlignment="1">
      <alignment vertical="top"/>
    </xf>
    <xf numFmtId="0" fontId="31" fillId="2" borderId="1" xfId="0" applyFont="1" applyFill="1" applyBorder="1" applyAlignment="1">
      <alignment vertical="top"/>
    </xf>
    <xf numFmtId="0" fontId="31" fillId="2" borderId="5" xfId="0" applyFont="1" applyFill="1" applyBorder="1" applyAlignment="1">
      <alignment vertical="top"/>
    </xf>
    <xf numFmtId="0" fontId="31" fillId="2" borderId="8" xfId="0" applyFont="1" applyFill="1" applyBorder="1" applyAlignment="1">
      <alignment vertical="top"/>
    </xf>
    <xf numFmtId="0" fontId="33" fillId="0" borderId="0" xfId="0" applyFont="1" applyAlignment="1">
      <alignment vertical="center"/>
    </xf>
    <xf numFmtId="0" fontId="30" fillId="0" borderId="25" xfId="0" applyFont="1" applyBorder="1" applyAlignment="1">
      <alignment horizontal="center"/>
    </xf>
    <xf numFmtId="0" fontId="30" fillId="0" borderId="1" xfId="0" applyFont="1" applyBorder="1" applyAlignment="1">
      <alignment vertical="center"/>
    </xf>
    <xf numFmtId="0" fontId="17" fillId="0" borderId="3" xfId="0" applyFont="1" applyBorder="1" applyAlignment="1">
      <alignment vertical="center"/>
    </xf>
    <xf numFmtId="0" fontId="30" fillId="0" borderId="5" xfId="0" applyFont="1" applyBorder="1" applyAlignment="1">
      <alignment vertical="center"/>
    </xf>
    <xf numFmtId="0" fontId="30" fillId="0" borderId="8" xfId="0" applyFont="1" applyBorder="1" applyAlignment="1">
      <alignment vertical="center"/>
    </xf>
    <xf numFmtId="10" fontId="11" fillId="0" borderId="0" xfId="0" applyNumberFormat="1" applyFont="1" applyAlignment="1">
      <alignment vertical="center" wrapText="1"/>
    </xf>
    <xf numFmtId="164" fontId="30" fillId="0" borderId="25" xfId="0" applyNumberFormat="1" applyFont="1" applyBorder="1" applyAlignment="1">
      <alignment horizontal="center"/>
    </xf>
    <xf numFmtId="0" fontId="30" fillId="0" borderId="41" xfId="0" applyFont="1" applyBorder="1" applyAlignment="1">
      <alignment horizontal="center"/>
    </xf>
    <xf numFmtId="0" fontId="30" fillId="0" borderId="42" xfId="0" applyFont="1" applyBorder="1" applyAlignment="1">
      <alignment horizontal="center"/>
    </xf>
    <xf numFmtId="164" fontId="30" fillId="0" borderId="43" xfId="0" applyNumberFormat="1" applyFont="1" applyBorder="1" applyAlignment="1">
      <alignment horizontal="center"/>
    </xf>
    <xf numFmtId="0" fontId="30" fillId="0" borderId="44" xfId="0" applyFont="1" applyBorder="1" applyAlignment="1">
      <alignment horizontal="center"/>
    </xf>
    <xf numFmtId="164" fontId="30" fillId="0" borderId="44" xfId="0" applyNumberFormat="1" applyFont="1" applyBorder="1" applyAlignment="1">
      <alignment horizontal="center"/>
    </xf>
    <xf numFmtId="164" fontId="30" fillId="0" borderId="45" xfId="0" applyNumberFormat="1" applyFont="1" applyBorder="1" applyAlignment="1">
      <alignment horizontal="center"/>
    </xf>
    <xf numFmtId="164" fontId="30" fillId="2" borderId="20" xfId="0" applyNumberFormat="1" applyFont="1" applyFill="1" applyBorder="1" applyAlignment="1">
      <alignment vertical="top"/>
    </xf>
    <xf numFmtId="0" fontId="30" fillId="2" borderId="0" xfId="0" applyFont="1" applyFill="1" applyAlignment="1">
      <alignment vertical="top"/>
    </xf>
    <xf numFmtId="44" fontId="30" fillId="0" borderId="25" xfId="0" applyNumberFormat="1" applyFont="1" applyBorder="1" applyAlignment="1">
      <alignment horizontal="center" vertical="center"/>
    </xf>
    <xf numFmtId="0" fontId="30" fillId="0" borderId="25" xfId="0" applyFont="1" applyBorder="1" applyAlignment="1">
      <alignment horizontal="center" vertical="center"/>
    </xf>
    <xf numFmtId="0" fontId="30" fillId="0" borderId="25" xfId="0" applyFont="1" applyBorder="1" applyAlignment="1">
      <alignment vertical="center"/>
    </xf>
    <xf numFmtId="1" fontId="30" fillId="0" borderId="25" xfId="0" applyNumberFormat="1" applyFont="1" applyBorder="1" applyAlignment="1">
      <alignment horizontal="center" vertical="center"/>
    </xf>
    <xf numFmtId="0" fontId="34" fillId="0" borderId="25" xfId="0" applyFont="1" applyBorder="1" applyAlignment="1">
      <alignment horizontal="center" vertical="center"/>
    </xf>
    <xf numFmtId="44" fontId="30" fillId="0" borderId="25" xfId="0" applyNumberFormat="1" applyFont="1" applyBorder="1"/>
    <xf numFmtId="164" fontId="30" fillId="0" borderId="25" xfId="0" applyNumberFormat="1" applyFont="1" applyBorder="1" applyAlignment="1">
      <alignment vertical="center"/>
    </xf>
    <xf numFmtId="0" fontId="35" fillId="0" borderId="5" xfId="0" applyFont="1" applyBorder="1" applyAlignment="1">
      <alignment horizontal="left"/>
    </xf>
    <xf numFmtId="0" fontId="35" fillId="0" borderId="0" xfId="0" applyFont="1" applyAlignment="1">
      <alignment horizontal="right"/>
    </xf>
    <xf numFmtId="164" fontId="0" fillId="0" borderId="0" xfId="0" applyNumberFormat="1"/>
    <xf numFmtId="0" fontId="36" fillId="2" borderId="4" xfId="0" applyFont="1" applyFill="1" applyBorder="1" applyAlignment="1">
      <alignment horizontal="center" vertical="center"/>
    </xf>
    <xf numFmtId="0" fontId="36" fillId="2" borderId="15" xfId="0" applyFont="1" applyFill="1" applyBorder="1" applyAlignment="1">
      <alignment vertical="top"/>
    </xf>
    <xf numFmtId="0" fontId="36" fillId="2" borderId="14" xfId="0" applyFont="1" applyFill="1" applyBorder="1" applyAlignment="1">
      <alignment vertical="top"/>
    </xf>
    <xf numFmtId="0" fontId="37" fillId="2" borderId="13" xfId="0" applyFont="1" applyFill="1" applyBorder="1" applyAlignment="1">
      <alignment vertical="top"/>
    </xf>
    <xf numFmtId="0" fontId="34" fillId="2" borderId="13" xfId="0" applyFont="1" applyFill="1" applyBorder="1" applyAlignment="1">
      <alignment vertical="top"/>
    </xf>
    <xf numFmtId="164" fontId="36" fillId="2" borderId="0" xfId="0" applyNumberFormat="1" applyFont="1" applyFill="1" applyAlignment="1">
      <alignment vertical="top"/>
    </xf>
    <xf numFmtId="0" fontId="36" fillId="2" borderId="16" xfId="0" applyFont="1" applyFill="1" applyBorder="1" applyAlignment="1">
      <alignment vertical="top"/>
    </xf>
    <xf numFmtId="0" fontId="36" fillId="2" borderId="6" xfId="0" applyFont="1" applyFill="1" applyBorder="1" applyAlignment="1">
      <alignment vertical="top"/>
    </xf>
    <xf numFmtId="0" fontId="37" fillId="2" borderId="17" xfId="0" applyFont="1" applyFill="1" applyBorder="1" applyAlignment="1">
      <alignment vertical="top"/>
    </xf>
    <xf numFmtId="0" fontId="34" fillId="2" borderId="17" xfId="0" applyFont="1" applyFill="1" applyBorder="1" applyAlignment="1">
      <alignment vertical="top"/>
    </xf>
    <xf numFmtId="164" fontId="36" fillId="2" borderId="6" xfId="0" applyNumberFormat="1" applyFont="1" applyFill="1" applyBorder="1" applyAlignment="1">
      <alignment vertical="top"/>
    </xf>
    <xf numFmtId="164" fontId="36" fillId="2" borderId="14" xfId="0" applyNumberFormat="1" applyFont="1" applyFill="1" applyBorder="1" applyAlignment="1">
      <alignment vertical="top"/>
    </xf>
    <xf numFmtId="10" fontId="36" fillId="2" borderId="0" xfId="0" applyNumberFormat="1" applyFont="1" applyFill="1" applyAlignment="1">
      <alignment horizontal="center" vertical="top"/>
    </xf>
    <xf numFmtId="8" fontId="37" fillId="2" borderId="13" xfId="0" applyNumberFormat="1" applyFont="1" applyFill="1" applyBorder="1" applyAlignment="1">
      <alignment vertical="top"/>
    </xf>
    <xf numFmtId="10" fontId="36" fillId="2" borderId="14" xfId="0" applyNumberFormat="1" applyFont="1" applyFill="1" applyBorder="1" applyAlignment="1">
      <alignment horizontal="center" vertical="top"/>
    </xf>
    <xf numFmtId="164" fontId="37" fillId="2" borderId="14" xfId="0" applyNumberFormat="1" applyFont="1" applyFill="1" applyBorder="1" applyAlignment="1">
      <alignment vertical="top"/>
    </xf>
    <xf numFmtId="164" fontId="37" fillId="2" borderId="6" xfId="0" applyNumberFormat="1" applyFont="1" applyFill="1" applyBorder="1" applyAlignment="1">
      <alignment vertical="top"/>
    </xf>
    <xf numFmtId="10" fontId="37" fillId="2" borderId="0" xfId="0" applyNumberFormat="1" applyFont="1" applyFill="1" applyAlignment="1">
      <alignment vertical="top"/>
    </xf>
    <xf numFmtId="10" fontId="37" fillId="2" borderId="21" xfId="0" applyNumberFormat="1" applyFont="1" applyFill="1" applyBorder="1" applyAlignment="1">
      <alignment vertical="top"/>
    </xf>
    <xf numFmtId="10" fontId="37" fillId="2" borderId="20" xfId="0" applyNumberFormat="1" applyFont="1" applyFill="1" applyBorder="1" applyAlignment="1">
      <alignment vertical="top"/>
    </xf>
    <xf numFmtId="0" fontId="36" fillId="2" borderId="13" xfId="0" applyFont="1" applyFill="1" applyBorder="1" applyAlignment="1">
      <alignment vertical="top"/>
    </xf>
    <xf numFmtId="164" fontId="36" fillId="2" borderId="19" xfId="0" applyNumberFormat="1" applyFont="1" applyFill="1" applyBorder="1" applyAlignment="1">
      <alignment vertical="top"/>
    </xf>
    <xf numFmtId="9" fontId="36" fillId="2" borderId="18" xfId="1" applyFont="1" applyFill="1" applyBorder="1" applyAlignment="1">
      <alignment vertical="top"/>
    </xf>
    <xf numFmtId="0" fontId="3" fillId="2" borderId="0" xfId="0" applyFont="1" applyFill="1" applyAlignment="1">
      <alignment horizontal="left" vertical="top" wrapText="1"/>
    </xf>
    <xf numFmtId="0" fontId="3" fillId="2" borderId="5" xfId="0" applyFont="1" applyFill="1" applyBorder="1" applyAlignment="1">
      <alignment horizontal="left" vertical="top" wrapText="1"/>
    </xf>
    <xf numFmtId="164" fontId="36" fillId="2" borderId="0" xfId="0" applyNumberFormat="1" applyFont="1" applyFill="1" applyAlignment="1">
      <alignment horizontal="center" vertical="top"/>
    </xf>
    <xf numFmtId="0" fontId="29" fillId="2" borderId="13" xfId="0" applyFont="1" applyFill="1" applyBorder="1" applyAlignment="1">
      <alignment vertical="top"/>
    </xf>
    <xf numFmtId="164" fontId="37" fillId="2" borderId="23" xfId="0" applyNumberFormat="1" applyFont="1" applyFill="1" applyBorder="1" applyAlignment="1">
      <alignment vertical="top"/>
    </xf>
    <xf numFmtId="0" fontId="36" fillId="2" borderId="12" xfId="0" applyFont="1" applyFill="1" applyBorder="1" applyAlignment="1">
      <alignment vertical="top"/>
    </xf>
    <xf numFmtId="164" fontId="37" fillId="2" borderId="7" xfId="0" applyNumberFormat="1" applyFont="1" applyFill="1" applyBorder="1" applyAlignment="1">
      <alignment vertical="top"/>
    </xf>
    <xf numFmtId="0" fontId="28" fillId="0" borderId="31" xfId="0" applyFont="1" applyBorder="1"/>
    <xf numFmtId="0" fontId="0" fillId="0" borderId="19" xfId="0" applyBorder="1"/>
    <xf numFmtId="0" fontId="0" fillId="0" borderId="32" xfId="0" applyBorder="1"/>
    <xf numFmtId="0" fontId="28" fillId="0" borderId="46" xfId="0" applyFont="1" applyBorder="1"/>
    <xf numFmtId="0" fontId="0" fillId="0" borderId="34" xfId="0" applyBorder="1"/>
    <xf numFmtId="0" fontId="28" fillId="0" borderId="46" xfId="0" applyFont="1" applyBorder="1" applyAlignment="1">
      <alignment horizontal="left"/>
    </xf>
    <xf numFmtId="0" fontId="28" fillId="0" borderId="30" xfId="0" applyFont="1" applyBorder="1" applyAlignment="1">
      <alignment horizontal="left"/>
    </xf>
    <xf numFmtId="0" fontId="28" fillId="0" borderId="14" xfId="0" applyFont="1" applyBorder="1" applyAlignment="1">
      <alignment horizontal="right"/>
    </xf>
    <xf numFmtId="0" fontId="0" fillId="0" borderId="14" xfId="0" applyBorder="1"/>
    <xf numFmtId="0" fontId="0" fillId="0" borderId="33" xfId="0" applyBorder="1"/>
    <xf numFmtId="0" fontId="31" fillId="0" borderId="19" xfId="0" applyFont="1" applyBorder="1" applyAlignment="1">
      <alignment vertical="center" wrapText="1"/>
    </xf>
    <xf numFmtId="0" fontId="31" fillId="0" borderId="0" xfId="0" applyFont="1" applyAlignment="1">
      <alignment vertical="center" wrapText="1"/>
    </xf>
    <xf numFmtId="0" fontId="38" fillId="0" borderId="19" xfId="0" applyFont="1" applyBorder="1" applyAlignment="1">
      <alignment vertical="center" wrapText="1"/>
    </xf>
    <xf numFmtId="0" fontId="38" fillId="0" borderId="0" xfId="0" applyFont="1" applyAlignment="1">
      <alignment vertical="center" wrapText="1"/>
    </xf>
    <xf numFmtId="6" fontId="3" fillId="2" borderId="13" xfId="0" applyNumberFormat="1" applyFont="1" applyFill="1" applyBorder="1" applyAlignment="1">
      <alignment vertical="top"/>
    </xf>
    <xf numFmtId="6" fontId="4" fillId="2" borderId="18" xfId="0" applyNumberFormat="1" applyFont="1" applyFill="1" applyBorder="1" applyAlignment="1">
      <alignment vertical="top"/>
    </xf>
    <xf numFmtId="6" fontId="27" fillId="0" borderId="25" xfId="0" applyNumberFormat="1" applyFont="1" applyBorder="1" applyAlignment="1">
      <alignment horizontal="center"/>
    </xf>
    <xf numFmtId="0" fontId="27" fillId="0" borderId="34" xfId="0" applyFont="1" applyBorder="1" applyAlignment="1">
      <alignment horizontal="center"/>
    </xf>
    <xf numFmtId="0" fontId="11" fillId="5" borderId="34" xfId="0" applyFont="1" applyFill="1" applyBorder="1" applyAlignment="1">
      <alignment horizontal="center" vertical="center" wrapText="1"/>
    </xf>
    <xf numFmtId="0" fontId="11" fillId="5" borderId="26" xfId="0" applyFont="1" applyFill="1" applyBorder="1" applyAlignment="1">
      <alignment horizontal="center" vertical="center" wrapText="1"/>
    </xf>
    <xf numFmtId="0" fontId="11" fillId="5" borderId="35" xfId="0" applyFont="1" applyFill="1" applyBorder="1" applyAlignment="1">
      <alignment horizontal="center" vertical="center" wrapText="1"/>
    </xf>
    <xf numFmtId="0" fontId="11" fillId="5" borderId="27" xfId="0" applyFont="1" applyFill="1" applyBorder="1" applyAlignment="1">
      <alignment horizontal="center" vertical="center" wrapText="1"/>
    </xf>
    <xf numFmtId="0" fontId="19" fillId="5" borderId="26" xfId="0" applyFont="1" applyFill="1" applyBorder="1" applyAlignment="1">
      <alignment horizontal="center" vertical="center" wrapText="1"/>
    </xf>
    <xf numFmtId="0" fontId="19" fillId="5" borderId="35" xfId="0" applyFont="1" applyFill="1" applyBorder="1" applyAlignment="1">
      <alignment horizontal="center" vertical="center" wrapText="1"/>
    </xf>
    <xf numFmtId="0" fontId="19" fillId="5" borderId="27" xfId="0" applyFont="1" applyFill="1" applyBorder="1" applyAlignment="1">
      <alignment horizontal="center" vertical="center" wrapText="1"/>
    </xf>
    <xf numFmtId="0" fontId="12" fillId="3" borderId="30"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1" fillId="4" borderId="25" xfId="0" applyFont="1" applyFill="1" applyBorder="1" applyAlignment="1">
      <alignment horizontal="center" vertical="center" wrapText="1"/>
    </xf>
    <xf numFmtId="44" fontId="11" fillId="4" borderId="25" xfId="0" applyNumberFormat="1" applyFont="1" applyFill="1" applyBorder="1" applyAlignment="1">
      <alignment horizontal="center" vertical="center" wrapText="1"/>
    </xf>
    <xf numFmtId="0" fontId="14" fillId="3" borderId="31" xfId="0" applyFont="1" applyFill="1" applyBorder="1" applyAlignment="1">
      <alignment horizontal="left" vertical="center" wrapText="1"/>
    </xf>
    <xf numFmtId="0" fontId="14" fillId="3" borderId="32" xfId="0" applyFont="1" applyFill="1" applyBorder="1" applyAlignment="1">
      <alignment horizontal="left" vertical="center" wrapText="1"/>
    </xf>
    <xf numFmtId="0" fontId="14" fillId="3" borderId="30" xfId="0" applyFont="1" applyFill="1" applyBorder="1" applyAlignment="1">
      <alignment horizontal="left" vertical="center" wrapText="1"/>
    </xf>
    <xf numFmtId="0" fontId="14" fillId="3" borderId="33" xfId="0" applyFont="1" applyFill="1" applyBorder="1" applyAlignment="1">
      <alignment horizontal="left" vertical="center" wrapText="1"/>
    </xf>
    <xf numFmtId="0" fontId="11" fillId="5" borderId="25" xfId="0" applyFont="1" applyFill="1" applyBorder="1" applyAlignment="1">
      <alignment horizontal="center" vertical="center" wrapText="1"/>
    </xf>
    <xf numFmtId="0" fontId="11" fillId="4" borderId="26" xfId="0" applyFont="1" applyFill="1" applyBorder="1" applyAlignment="1">
      <alignment horizontal="left" vertical="center" wrapText="1"/>
    </xf>
    <xf numFmtId="0" fontId="11" fillId="4" borderId="27" xfId="0" applyFont="1" applyFill="1" applyBorder="1" applyAlignment="1">
      <alignment horizontal="left" vertical="center" wrapText="1"/>
    </xf>
    <xf numFmtId="10" fontId="11" fillId="4" borderId="26" xfId="0" applyNumberFormat="1" applyFont="1" applyFill="1" applyBorder="1" applyAlignment="1">
      <alignment horizontal="center" vertical="center" wrapText="1"/>
    </xf>
    <xf numFmtId="10" fontId="11" fillId="4" borderId="27" xfId="0" applyNumberFormat="1" applyFont="1" applyFill="1" applyBorder="1" applyAlignment="1">
      <alignment horizontal="center" vertical="center" wrapText="1"/>
    </xf>
    <xf numFmtId="0" fontId="14" fillId="3" borderId="26" xfId="0" applyFont="1" applyFill="1" applyBorder="1" applyAlignment="1">
      <alignment horizontal="center" vertical="center" wrapText="1"/>
    </xf>
    <xf numFmtId="0" fontId="14" fillId="3" borderId="27" xfId="0" applyFont="1" applyFill="1" applyBorder="1" applyAlignment="1">
      <alignment horizontal="center" vertical="center" wrapText="1"/>
    </xf>
    <xf numFmtId="0" fontId="15" fillId="4" borderId="31" xfId="0" applyFont="1" applyFill="1" applyBorder="1" applyAlignment="1">
      <alignment horizontal="left" vertical="center" wrapText="1"/>
    </xf>
    <xf numFmtId="0" fontId="15" fillId="4" borderId="32" xfId="0" applyFont="1" applyFill="1" applyBorder="1" applyAlignment="1">
      <alignment horizontal="left" vertical="center" wrapText="1"/>
    </xf>
    <xf numFmtId="0" fontId="15" fillId="4" borderId="30" xfId="0" applyFont="1" applyFill="1" applyBorder="1" applyAlignment="1">
      <alignment horizontal="left" vertical="center" wrapText="1"/>
    </xf>
    <xf numFmtId="0" fontId="15" fillId="4" borderId="33" xfId="0" applyFont="1" applyFill="1" applyBorder="1" applyAlignment="1">
      <alignment horizontal="left" vertical="center" wrapText="1"/>
    </xf>
    <xf numFmtId="0" fontId="16" fillId="4" borderId="26" xfId="0" applyFont="1" applyFill="1" applyBorder="1" applyAlignment="1">
      <alignment horizontal="center" vertical="center" wrapText="1"/>
    </xf>
    <xf numFmtId="0" fontId="16" fillId="4" borderId="27" xfId="0" applyFont="1" applyFill="1" applyBorder="1" applyAlignment="1">
      <alignment horizontal="center" vertical="center" wrapText="1"/>
    </xf>
    <xf numFmtId="0" fontId="14" fillId="3" borderId="25"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6" fillId="4" borderId="25" xfId="0" applyFont="1" applyFill="1" applyBorder="1" applyAlignment="1">
      <alignment horizontal="center" vertical="center" wrapText="1"/>
    </xf>
    <xf numFmtId="0" fontId="15" fillId="4" borderId="25" xfId="0" applyFont="1" applyFill="1" applyBorder="1" applyAlignment="1">
      <alignment horizontal="left" vertical="center" wrapText="1"/>
    </xf>
    <xf numFmtId="0" fontId="14" fillId="3" borderId="25" xfId="0" applyFont="1" applyFill="1" applyBorder="1" applyAlignment="1">
      <alignment horizontal="left" vertical="center" wrapText="1"/>
    </xf>
    <xf numFmtId="0" fontId="20" fillId="6" borderId="28" xfId="0" applyFont="1" applyFill="1" applyBorder="1" applyAlignment="1">
      <alignment horizontal="left" vertical="center" wrapText="1"/>
    </xf>
    <xf numFmtId="0" fontId="20" fillId="6" borderId="6" xfId="0" applyFont="1" applyFill="1" applyBorder="1" applyAlignment="1">
      <alignment horizontal="left" vertical="center" wrapText="1"/>
    </xf>
    <xf numFmtId="0" fontId="20" fillId="6" borderId="29" xfId="0" applyFont="1" applyFill="1" applyBorder="1" applyAlignment="1">
      <alignment horizontal="left" vertical="center" wrapText="1"/>
    </xf>
    <xf numFmtId="0" fontId="20" fillId="6" borderId="28" xfId="0" applyFont="1" applyFill="1" applyBorder="1" applyAlignment="1">
      <alignment horizontal="center" wrapText="1"/>
    </xf>
    <xf numFmtId="0" fontId="20" fillId="6" borderId="29" xfId="0" applyFont="1" applyFill="1" applyBorder="1" applyAlignment="1">
      <alignment horizontal="center" wrapText="1"/>
    </xf>
    <xf numFmtId="0" fontId="20" fillId="6" borderId="28" xfId="0" applyFont="1" applyFill="1" applyBorder="1" applyAlignment="1">
      <alignment horizontal="center" vertical="center" wrapText="1"/>
    </xf>
    <xf numFmtId="0" fontId="20" fillId="6" borderId="6" xfId="0" applyFont="1" applyFill="1" applyBorder="1" applyAlignment="1">
      <alignment horizontal="center" vertical="center" wrapText="1"/>
    </xf>
    <xf numFmtId="0" fontId="20" fillId="6" borderId="29" xfId="0" applyFont="1" applyFill="1" applyBorder="1" applyAlignment="1">
      <alignment horizontal="center" vertical="center" wrapText="1"/>
    </xf>
    <xf numFmtId="0" fontId="20" fillId="5" borderId="28" xfId="0" applyFont="1" applyFill="1" applyBorder="1" applyAlignment="1">
      <alignment horizontal="left" vertical="center" wrapText="1"/>
    </xf>
    <xf numFmtId="0" fontId="20" fillId="5" borderId="6" xfId="0" applyFont="1" applyFill="1" applyBorder="1" applyAlignment="1">
      <alignment horizontal="left" vertical="center" wrapText="1"/>
    </xf>
    <xf numFmtId="0" fontId="20" fillId="5" borderId="29" xfId="0" applyFont="1" applyFill="1" applyBorder="1" applyAlignment="1">
      <alignment horizontal="left" vertical="center" wrapText="1"/>
    </xf>
    <xf numFmtId="0" fontId="20" fillId="4" borderId="25" xfId="0" applyFont="1" applyFill="1" applyBorder="1" applyAlignment="1">
      <alignment horizontal="center" vertical="center" wrapText="1"/>
    </xf>
    <xf numFmtId="0" fontId="21" fillId="4" borderId="26" xfId="0" applyFont="1" applyFill="1" applyBorder="1" applyAlignment="1">
      <alignment horizontal="left" vertical="center" wrapText="1"/>
    </xf>
    <xf numFmtId="0" fontId="21" fillId="4" borderId="27" xfId="0" applyFont="1" applyFill="1" applyBorder="1" applyAlignment="1">
      <alignment horizontal="left" vertical="center" wrapText="1"/>
    </xf>
    <xf numFmtId="10" fontId="21" fillId="4" borderId="25" xfId="0" applyNumberFormat="1" applyFont="1" applyFill="1" applyBorder="1" applyAlignment="1">
      <alignment horizontal="center" vertical="center" wrapText="1"/>
    </xf>
    <xf numFmtId="10" fontId="20" fillId="4" borderId="26" xfId="0" applyNumberFormat="1" applyFont="1" applyFill="1" applyBorder="1" applyAlignment="1">
      <alignment horizontal="center" vertical="center" wrapText="1"/>
    </xf>
    <xf numFmtId="10" fontId="20" fillId="4" borderId="27" xfId="0" applyNumberFormat="1" applyFont="1" applyFill="1" applyBorder="1" applyAlignment="1">
      <alignment horizontal="center" vertical="center" wrapText="1"/>
    </xf>
    <xf numFmtId="10" fontId="21" fillId="4" borderId="26" xfId="0" applyNumberFormat="1" applyFont="1" applyFill="1" applyBorder="1" applyAlignment="1">
      <alignment horizontal="center" vertical="center" wrapText="1"/>
    </xf>
    <xf numFmtId="10" fontId="21" fillId="4" borderId="27" xfId="0" applyNumberFormat="1" applyFont="1" applyFill="1" applyBorder="1" applyAlignment="1">
      <alignment horizontal="center" vertical="center" wrapText="1"/>
    </xf>
    <xf numFmtId="0" fontId="11" fillId="0" borderId="0" xfId="0" applyFont="1" applyAlignment="1">
      <alignment horizontal="center" vertical="center" wrapText="1"/>
    </xf>
    <xf numFmtId="0" fontId="20" fillId="4" borderId="26" xfId="0" applyFont="1" applyFill="1" applyBorder="1" applyAlignment="1">
      <alignment horizontal="center" vertical="center" wrapText="1"/>
    </xf>
    <xf numFmtId="0" fontId="20" fillId="4" borderId="27"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1" fillId="4" borderId="26" xfId="0" applyFont="1" applyFill="1" applyBorder="1" applyAlignment="1">
      <alignment horizontal="center" vertical="center" wrapText="1"/>
    </xf>
    <xf numFmtId="0" fontId="11" fillId="4" borderId="27" xfId="0" applyFont="1" applyFill="1" applyBorder="1" applyAlignment="1">
      <alignment horizontal="center" vertical="center" wrapText="1"/>
    </xf>
    <xf numFmtId="44" fontId="11" fillId="4" borderId="26" xfId="0" applyNumberFormat="1" applyFont="1" applyFill="1" applyBorder="1" applyAlignment="1">
      <alignment horizontal="center" vertical="center" wrapText="1"/>
    </xf>
    <xf numFmtId="44" fontId="11" fillId="4" borderId="27" xfId="0" applyNumberFormat="1" applyFont="1" applyFill="1" applyBorder="1" applyAlignment="1">
      <alignment horizontal="center" vertical="center" wrapText="1"/>
    </xf>
    <xf numFmtId="0" fontId="13" fillId="7" borderId="25" xfId="0" applyFont="1" applyFill="1" applyBorder="1" applyAlignment="1">
      <alignment horizontal="center" vertical="center" wrapText="1"/>
    </xf>
    <xf numFmtId="44" fontId="13" fillId="7" borderId="25" xfId="0" applyNumberFormat="1" applyFont="1" applyFill="1" applyBorder="1" applyAlignment="1">
      <alignment horizontal="center" vertical="center" wrapText="1"/>
    </xf>
    <xf numFmtId="0" fontId="11" fillId="0" borderId="14" xfId="0" applyFont="1" applyBorder="1" applyAlignment="1">
      <alignment horizontal="center" vertical="center" wrapText="1"/>
    </xf>
    <xf numFmtId="0" fontId="12" fillId="3" borderId="25" xfId="0" applyFont="1" applyFill="1" applyBorder="1" applyAlignment="1">
      <alignment horizontal="center" vertical="center" wrapText="1"/>
    </xf>
    <xf numFmtId="0" fontId="12" fillId="5" borderId="25" xfId="0" applyFont="1" applyFill="1" applyBorder="1" applyAlignment="1">
      <alignment horizontal="left" vertical="center" wrapText="1"/>
    </xf>
    <xf numFmtId="0" fontId="17" fillId="4" borderId="26" xfId="0" applyFont="1" applyFill="1" applyBorder="1" applyAlignment="1">
      <alignment horizontal="left" vertical="center" wrapText="1"/>
    </xf>
    <xf numFmtId="0" fontId="17" fillId="4" borderId="27" xfId="0" applyFont="1" applyFill="1" applyBorder="1" applyAlignment="1">
      <alignment horizontal="left" vertical="center" wrapText="1"/>
    </xf>
    <xf numFmtId="10" fontId="17" fillId="4" borderId="25" xfId="0" applyNumberFormat="1" applyFont="1" applyFill="1" applyBorder="1" applyAlignment="1">
      <alignment horizontal="center" vertical="center" wrapText="1"/>
    </xf>
    <xf numFmtId="0" fontId="12" fillId="3" borderId="28"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3" borderId="29" xfId="0" applyFont="1" applyFill="1" applyBorder="1" applyAlignment="1">
      <alignment horizontal="center" vertical="center" wrapText="1"/>
    </xf>
    <xf numFmtId="10" fontId="17" fillId="4" borderId="26" xfId="0" applyNumberFormat="1" applyFont="1" applyFill="1" applyBorder="1" applyAlignment="1">
      <alignment horizontal="center" vertical="center" wrapText="1"/>
    </xf>
    <xf numFmtId="10" fontId="17" fillId="4" borderId="27" xfId="0" applyNumberFormat="1" applyFont="1" applyFill="1" applyBorder="1" applyAlignment="1">
      <alignment horizontal="center" vertical="center" wrapText="1"/>
    </xf>
    <xf numFmtId="0" fontId="12" fillId="3" borderId="25" xfId="0" applyFont="1" applyFill="1" applyBorder="1" applyAlignment="1">
      <alignment horizontal="center" wrapText="1"/>
    </xf>
    <xf numFmtId="0" fontId="19" fillId="4" borderId="25" xfId="0" applyFont="1" applyFill="1" applyBorder="1" applyAlignment="1">
      <alignment horizontal="left" vertical="center" wrapText="1"/>
    </xf>
    <xf numFmtId="0" fontId="22" fillId="4" borderId="31" xfId="0" applyFont="1" applyFill="1" applyBorder="1" applyAlignment="1">
      <alignment horizontal="center" vertical="center" wrapText="1"/>
    </xf>
    <xf numFmtId="0" fontId="22" fillId="4" borderId="19" xfId="0" applyFont="1" applyFill="1" applyBorder="1" applyAlignment="1">
      <alignment horizontal="center" vertical="center" wrapText="1"/>
    </xf>
    <xf numFmtId="0" fontId="22" fillId="4" borderId="32" xfId="0" applyFont="1" applyFill="1" applyBorder="1" applyAlignment="1">
      <alignment horizontal="center" vertical="center" wrapText="1"/>
    </xf>
    <xf numFmtId="0" fontId="22" fillId="4" borderId="30" xfId="0" applyFont="1" applyFill="1" applyBorder="1" applyAlignment="1">
      <alignment horizontal="center" vertical="center" wrapText="1"/>
    </xf>
    <xf numFmtId="0" fontId="22" fillId="4" borderId="14" xfId="0" applyFont="1" applyFill="1" applyBorder="1" applyAlignment="1">
      <alignment horizontal="center" vertical="center" wrapText="1"/>
    </xf>
    <xf numFmtId="0" fontId="22" fillId="4" borderId="33"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2" fillId="3" borderId="27" xfId="0" applyFont="1" applyFill="1" applyBorder="1" applyAlignment="1">
      <alignment horizontal="center" vertical="center" wrapText="1"/>
    </xf>
    <xf numFmtId="0" fontId="19" fillId="4" borderId="26" xfId="0" applyFont="1" applyFill="1" applyBorder="1" applyAlignment="1">
      <alignment horizontal="center" vertical="center" wrapText="1"/>
    </xf>
    <xf numFmtId="0" fontId="19" fillId="4" borderId="27" xfId="0" applyFont="1" applyFill="1" applyBorder="1" applyAlignment="1">
      <alignment horizontal="center" vertical="center" wrapText="1"/>
    </xf>
    <xf numFmtId="0" fontId="22" fillId="4" borderId="26" xfId="0" applyFont="1" applyFill="1" applyBorder="1" applyAlignment="1">
      <alignment horizontal="center" vertical="center" wrapText="1"/>
    </xf>
    <xf numFmtId="0" fontId="22" fillId="4" borderId="27" xfId="0" applyFont="1" applyFill="1" applyBorder="1" applyAlignment="1">
      <alignment horizontal="center" vertical="center" wrapText="1"/>
    </xf>
    <xf numFmtId="0" fontId="12" fillId="3" borderId="28" xfId="0" applyFont="1" applyFill="1" applyBorder="1" applyAlignment="1">
      <alignment horizontal="left" vertical="center" wrapText="1"/>
    </xf>
    <xf numFmtId="0" fontId="12" fillId="3" borderId="6" xfId="0" applyFont="1" applyFill="1" applyBorder="1" applyAlignment="1">
      <alignment horizontal="left" vertical="center" wrapText="1"/>
    </xf>
    <xf numFmtId="0" fontId="12" fillId="3" borderId="29" xfId="0" applyFont="1" applyFill="1" applyBorder="1" applyAlignment="1">
      <alignment horizontal="left" vertical="center" wrapText="1"/>
    </xf>
    <xf numFmtId="0" fontId="11" fillId="5" borderId="26" xfId="0" applyFont="1" applyFill="1" applyBorder="1" applyAlignment="1">
      <alignment horizontal="left" vertical="center" wrapText="1"/>
    </xf>
    <xf numFmtId="0" fontId="11" fillId="5" borderId="27" xfId="0" applyFont="1" applyFill="1" applyBorder="1" applyAlignment="1">
      <alignment horizontal="left" vertical="center" wrapText="1"/>
    </xf>
    <xf numFmtId="0" fontId="13" fillId="5" borderId="25"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0" xfId="0" applyFont="1" applyFill="1" applyAlignment="1">
      <alignment horizontal="center" vertical="center" wrapText="1"/>
    </xf>
    <xf numFmtId="0" fontId="19" fillId="4" borderId="19" xfId="0" applyFont="1" applyFill="1" applyBorder="1" applyAlignment="1">
      <alignment horizontal="left" vertical="center" wrapText="1"/>
    </xf>
    <xf numFmtId="0" fontId="19" fillId="4" borderId="0" xfId="0" applyFont="1" applyFill="1" applyAlignment="1">
      <alignment horizontal="left" vertical="center" wrapText="1"/>
    </xf>
    <xf numFmtId="0" fontId="14" fillId="3" borderId="31" xfId="0" applyFont="1" applyFill="1" applyBorder="1" applyAlignment="1">
      <alignment horizontal="center" vertical="center" wrapText="1"/>
    </xf>
    <xf numFmtId="0" fontId="14" fillId="3" borderId="32"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4" fillId="3" borderId="33"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32"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6" fillId="4" borderId="33" xfId="0" applyFont="1" applyFill="1" applyBorder="1" applyAlignment="1">
      <alignment horizontal="center" vertical="center" wrapText="1"/>
    </xf>
    <xf numFmtId="0" fontId="15" fillId="4" borderId="26" xfId="0" applyFont="1" applyFill="1" applyBorder="1" applyAlignment="1">
      <alignment horizontal="center" vertical="center" wrapText="1"/>
    </xf>
    <xf numFmtId="0" fontId="15" fillId="4" borderId="27" xfId="0" applyFont="1" applyFill="1" applyBorder="1" applyAlignment="1">
      <alignment horizontal="center" vertical="center" wrapText="1"/>
    </xf>
    <xf numFmtId="44" fontId="11" fillId="4" borderId="26" xfId="0" applyNumberFormat="1" applyFont="1" applyFill="1" applyBorder="1" applyAlignment="1">
      <alignment horizontal="right" vertical="center" wrapText="1"/>
    </xf>
    <xf numFmtId="44" fontId="11" fillId="4" borderId="27" xfId="0" applyNumberFormat="1" applyFont="1" applyFill="1" applyBorder="1" applyAlignment="1">
      <alignment horizontal="right" vertical="center" wrapText="1"/>
    </xf>
    <xf numFmtId="44" fontId="13" fillId="4" borderId="25" xfId="0" applyNumberFormat="1" applyFont="1" applyFill="1" applyBorder="1" applyAlignment="1">
      <alignment horizontal="center" vertical="center" wrapText="1"/>
    </xf>
    <xf numFmtId="0" fontId="15" fillId="4" borderId="31" xfId="0" applyFont="1" applyFill="1" applyBorder="1" applyAlignment="1">
      <alignment horizontal="center" vertical="center" wrapText="1"/>
    </xf>
    <xf numFmtId="0" fontId="15" fillId="4" borderId="19" xfId="0" applyFont="1" applyFill="1" applyBorder="1" applyAlignment="1">
      <alignment horizontal="center" vertical="center" wrapText="1"/>
    </xf>
    <xf numFmtId="0" fontId="15" fillId="4" borderId="32" xfId="0" applyFont="1" applyFill="1" applyBorder="1" applyAlignment="1">
      <alignment horizontal="center" vertical="center" wrapText="1"/>
    </xf>
    <xf numFmtId="0" fontId="15" fillId="4" borderId="30" xfId="0" applyFont="1" applyFill="1" applyBorder="1" applyAlignment="1">
      <alignment horizontal="center" vertical="center" wrapText="1"/>
    </xf>
    <xf numFmtId="0" fontId="15" fillId="4" borderId="14" xfId="0" applyFont="1" applyFill="1" applyBorder="1" applyAlignment="1">
      <alignment horizontal="center" vertical="center" wrapText="1"/>
    </xf>
    <xf numFmtId="0" fontId="15" fillId="4" borderId="33" xfId="0" applyFont="1" applyFill="1" applyBorder="1" applyAlignment="1">
      <alignment horizontal="center" vertical="center" wrapText="1"/>
    </xf>
    <xf numFmtId="44" fontId="11" fillId="4" borderId="31" xfId="0" applyNumberFormat="1" applyFont="1" applyFill="1" applyBorder="1" applyAlignment="1">
      <alignment horizontal="center" vertical="center" wrapText="1"/>
    </xf>
    <xf numFmtId="44" fontId="11" fillId="4" borderId="19" xfId="0" applyNumberFormat="1" applyFont="1" applyFill="1" applyBorder="1" applyAlignment="1">
      <alignment horizontal="center" vertical="center" wrapText="1"/>
    </xf>
    <xf numFmtId="44" fontId="11" fillId="4" borderId="32" xfId="0" applyNumberFormat="1" applyFont="1" applyFill="1" applyBorder="1" applyAlignment="1">
      <alignment horizontal="center" vertical="center" wrapText="1"/>
    </xf>
    <xf numFmtId="44" fontId="11" fillId="4" borderId="30" xfId="0" applyNumberFormat="1" applyFont="1" applyFill="1" applyBorder="1" applyAlignment="1">
      <alignment horizontal="center" vertical="center" wrapText="1"/>
    </xf>
    <xf numFmtId="44" fontId="11" fillId="4" borderId="14" xfId="0" applyNumberFormat="1" applyFont="1" applyFill="1" applyBorder="1" applyAlignment="1">
      <alignment horizontal="center" vertical="center" wrapText="1"/>
    </xf>
    <xf numFmtId="44" fontId="11" fillId="4" borderId="33" xfId="0" applyNumberFormat="1" applyFont="1" applyFill="1" applyBorder="1" applyAlignment="1">
      <alignment horizontal="center" vertical="center" wrapText="1"/>
    </xf>
    <xf numFmtId="0" fontId="11" fillId="7" borderId="31" xfId="0" applyFont="1" applyFill="1" applyBorder="1" applyAlignment="1">
      <alignment horizontal="center" vertical="center" wrapText="1"/>
    </xf>
    <xf numFmtId="0" fontId="11" fillId="7" borderId="32" xfId="0" applyFont="1" applyFill="1" applyBorder="1" applyAlignment="1">
      <alignment horizontal="center" vertical="center" wrapText="1"/>
    </xf>
    <xf numFmtId="0" fontId="11" fillId="7" borderId="30" xfId="0" applyFont="1" applyFill="1" applyBorder="1" applyAlignment="1">
      <alignment horizontal="center" vertical="center" wrapText="1"/>
    </xf>
    <xf numFmtId="0" fontId="11" fillId="7" borderId="33" xfId="0" applyFont="1" applyFill="1" applyBorder="1" applyAlignment="1">
      <alignment horizontal="center" vertical="center" wrapText="1"/>
    </xf>
    <xf numFmtId="0" fontId="11" fillId="4" borderId="31" xfId="0" applyFont="1" applyFill="1" applyBorder="1" applyAlignment="1">
      <alignment horizontal="center" vertical="center" wrapText="1"/>
    </xf>
    <xf numFmtId="0" fontId="11" fillId="4" borderId="19" xfId="0" applyFont="1" applyFill="1" applyBorder="1" applyAlignment="1">
      <alignment horizontal="center" vertical="center" wrapText="1"/>
    </xf>
    <xf numFmtId="0" fontId="11" fillId="4" borderId="32" xfId="0" applyFont="1" applyFill="1" applyBorder="1" applyAlignment="1">
      <alignment horizontal="center" vertical="center" wrapText="1"/>
    </xf>
    <xf numFmtId="0" fontId="11" fillId="4" borderId="3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1" fillId="4" borderId="33" xfId="0" applyFont="1" applyFill="1" applyBorder="1" applyAlignment="1">
      <alignment horizontal="center" vertical="center" wrapText="1"/>
    </xf>
    <xf numFmtId="164" fontId="11" fillId="4" borderId="26" xfId="0" applyNumberFormat="1" applyFont="1" applyFill="1" applyBorder="1" applyAlignment="1">
      <alignment horizontal="center" vertical="center" wrapText="1"/>
    </xf>
    <xf numFmtId="164" fontId="11" fillId="4" borderId="27" xfId="0" applyNumberFormat="1" applyFont="1" applyFill="1" applyBorder="1" applyAlignment="1">
      <alignment horizontal="center" vertical="center" wrapText="1"/>
    </xf>
    <xf numFmtId="164" fontId="13" fillId="4" borderId="25" xfId="0" applyNumberFormat="1" applyFont="1" applyFill="1" applyBorder="1" applyAlignment="1">
      <alignment horizontal="center" vertical="center" wrapText="1"/>
    </xf>
    <xf numFmtId="164" fontId="11" fillId="7" borderId="31" xfId="0" applyNumberFormat="1" applyFont="1" applyFill="1" applyBorder="1" applyAlignment="1">
      <alignment horizontal="center" vertical="center" wrapText="1"/>
    </xf>
    <xf numFmtId="164" fontId="11" fillId="7" borderId="32" xfId="0" applyNumberFormat="1" applyFont="1" applyFill="1" applyBorder="1" applyAlignment="1">
      <alignment horizontal="center" vertical="center" wrapText="1"/>
    </xf>
    <xf numFmtId="164" fontId="11" fillId="7" borderId="30" xfId="0" applyNumberFormat="1" applyFont="1" applyFill="1" applyBorder="1" applyAlignment="1">
      <alignment horizontal="center" vertical="center" wrapText="1"/>
    </xf>
    <xf numFmtId="164" fontId="11" fillId="7" borderId="33" xfId="0" applyNumberFormat="1" applyFont="1" applyFill="1" applyBorder="1" applyAlignment="1">
      <alignment horizontal="center" vertical="center" wrapText="1"/>
    </xf>
    <xf numFmtId="0" fontId="29" fillId="2" borderId="6" xfId="0" applyFont="1" applyFill="1" applyBorder="1" applyAlignment="1">
      <alignment horizontal="left" vertical="center"/>
    </xf>
    <xf numFmtId="0" fontId="29" fillId="2" borderId="7" xfId="0" applyFont="1" applyFill="1" applyBorder="1" applyAlignment="1">
      <alignment horizontal="left" vertical="center"/>
    </xf>
    <xf numFmtId="0" fontId="30" fillId="0" borderId="1" xfId="0" applyFont="1" applyBorder="1" applyAlignment="1">
      <alignment horizontal="left" vertical="center" wrapText="1"/>
    </xf>
    <xf numFmtId="0" fontId="30" fillId="0" borderId="3" xfId="0" applyFont="1" applyBorder="1" applyAlignment="1">
      <alignment horizontal="left" vertical="center" wrapText="1"/>
    </xf>
    <xf numFmtId="0" fontId="30" fillId="0" borderId="22" xfId="0" applyFont="1" applyBorder="1" applyAlignment="1">
      <alignment horizontal="left" vertical="center" wrapText="1"/>
    </xf>
    <xf numFmtId="0" fontId="30" fillId="0" borderId="5" xfId="0" applyFont="1" applyBorder="1" applyAlignment="1">
      <alignment horizontal="left" vertical="center" wrapText="1"/>
    </xf>
    <xf numFmtId="0" fontId="30" fillId="0" borderId="0" xfId="0" applyFont="1" applyAlignment="1">
      <alignment horizontal="left" vertical="center" wrapText="1"/>
    </xf>
    <xf numFmtId="0" fontId="30" fillId="0" borderId="12" xfId="0" applyFont="1" applyBorder="1" applyAlignment="1">
      <alignment horizontal="left" vertical="center" wrapText="1"/>
    </xf>
    <xf numFmtId="0" fontId="30" fillId="0" borderId="8" xfId="0" applyFont="1" applyBorder="1" applyAlignment="1">
      <alignment horizontal="left" vertical="center" wrapText="1"/>
    </xf>
    <xf numFmtId="0" fontId="30" fillId="0" borderId="10" xfId="0" applyFont="1" applyBorder="1" applyAlignment="1">
      <alignment horizontal="left" vertical="center" wrapText="1"/>
    </xf>
    <xf numFmtId="0" fontId="30" fillId="0" borderId="11" xfId="0" applyFont="1" applyBorder="1" applyAlignment="1">
      <alignment horizontal="left" vertical="center" wrapText="1"/>
    </xf>
    <xf numFmtId="0" fontId="27" fillId="0" borderId="28" xfId="0" applyFont="1" applyBorder="1" applyAlignment="1">
      <alignment horizontal="center"/>
    </xf>
    <xf numFmtId="0" fontId="27" fillId="0" borderId="6" xfId="0" applyFont="1" applyBorder="1" applyAlignment="1">
      <alignment horizontal="center"/>
    </xf>
    <xf numFmtId="0" fontId="27" fillId="0" borderId="29" xfId="0" applyFont="1" applyBorder="1" applyAlignment="1">
      <alignment horizontal="center"/>
    </xf>
    <xf numFmtId="0" fontId="27" fillId="0" borderId="25" xfId="0" applyFont="1" applyBorder="1" applyAlignment="1">
      <alignment horizontal="center"/>
    </xf>
    <xf numFmtId="0" fontId="9" fillId="2" borderId="1" xfId="0" applyFont="1" applyFill="1" applyBorder="1" applyAlignment="1">
      <alignment vertical="top" wrapText="1"/>
    </xf>
    <xf numFmtId="0" fontId="9" fillId="2" borderId="3" xfId="0" applyFont="1" applyFill="1" applyBorder="1" applyAlignment="1">
      <alignment vertical="top" wrapText="1"/>
    </xf>
    <xf numFmtId="0" fontId="9" fillId="2" borderId="22" xfId="0" applyFont="1" applyFill="1" applyBorder="1" applyAlignment="1">
      <alignment vertical="top" wrapText="1"/>
    </xf>
    <xf numFmtId="0" fontId="3" fillId="2" borderId="0" xfId="0" applyFont="1" applyFill="1" applyAlignment="1">
      <alignment horizontal="right" vertical="top"/>
    </xf>
    <xf numFmtId="0" fontId="3" fillId="2" borderId="12" xfId="0" applyFont="1" applyFill="1" applyBorder="1" applyAlignment="1">
      <alignment horizontal="right" vertical="top"/>
    </xf>
    <xf numFmtId="0" fontId="3" fillId="2" borderId="5" xfId="0" applyFont="1" applyFill="1" applyBorder="1" applyAlignment="1">
      <alignment horizontal="left" vertical="top" wrapText="1"/>
    </xf>
    <xf numFmtId="0" fontId="3" fillId="2" borderId="0" xfId="0" applyFont="1" applyFill="1" applyAlignment="1">
      <alignment horizontal="left" vertical="top" wrapText="1"/>
    </xf>
    <xf numFmtId="0" fontId="9" fillId="2" borderId="8" xfId="0" applyFont="1" applyFill="1" applyBorder="1" applyAlignment="1">
      <alignment horizontal="left" vertical="top"/>
    </xf>
    <xf numFmtId="0" fontId="9" fillId="2" borderId="10" xfId="0" applyFont="1" applyFill="1" applyBorder="1" applyAlignment="1">
      <alignment horizontal="left" vertical="top"/>
    </xf>
    <xf numFmtId="0" fontId="9" fillId="2" borderId="11" xfId="0" applyFont="1" applyFill="1" applyBorder="1" applyAlignment="1">
      <alignment horizontal="left" vertical="top"/>
    </xf>
    <xf numFmtId="0" fontId="36" fillId="2" borderId="2" xfId="0" applyFont="1" applyFill="1" applyBorder="1" applyAlignment="1">
      <alignment horizontal="center" vertical="center"/>
    </xf>
    <xf numFmtId="0" fontId="29" fillId="2" borderId="2" xfId="0" applyFont="1" applyFill="1" applyBorder="1" applyAlignment="1">
      <alignment horizontal="left" vertical="center"/>
    </xf>
    <xf numFmtId="0" fontId="29" fillId="2" borderId="4" xfId="0" applyFont="1" applyFill="1" applyBorder="1" applyAlignment="1">
      <alignment horizontal="left" vertical="center"/>
    </xf>
    <xf numFmtId="0" fontId="31" fillId="0" borderId="1" xfId="0" applyFont="1" applyBorder="1" applyAlignment="1">
      <alignment horizontal="left" vertical="center" wrapText="1"/>
    </xf>
    <xf numFmtId="0" fontId="31" fillId="0" borderId="3" xfId="0" applyFont="1" applyBorder="1" applyAlignment="1">
      <alignment horizontal="left" vertical="center" wrapText="1"/>
    </xf>
    <xf numFmtId="0" fontId="31" fillId="0" borderId="22" xfId="0" applyFont="1" applyBorder="1" applyAlignment="1">
      <alignment horizontal="left" vertical="center" wrapText="1"/>
    </xf>
    <xf numFmtId="0" fontId="31" fillId="0" borderId="5" xfId="0" applyFont="1" applyBorder="1" applyAlignment="1">
      <alignment horizontal="left" vertical="center" wrapText="1"/>
    </xf>
    <xf numFmtId="0" fontId="31" fillId="0" borderId="0" xfId="0" applyFont="1" applyAlignment="1">
      <alignment horizontal="left" vertical="center" wrapText="1"/>
    </xf>
    <xf numFmtId="0" fontId="31" fillId="0" borderId="12" xfId="0" applyFont="1" applyBorder="1" applyAlignment="1">
      <alignment horizontal="left" vertical="center" wrapText="1"/>
    </xf>
    <xf numFmtId="0" fontId="31" fillId="0" borderId="8" xfId="0" applyFont="1" applyBorder="1" applyAlignment="1">
      <alignment horizontal="left" vertical="center" wrapText="1"/>
    </xf>
    <xf numFmtId="0" fontId="31" fillId="0" borderId="10" xfId="0" applyFont="1" applyBorder="1" applyAlignment="1">
      <alignment horizontal="left" vertical="center" wrapText="1"/>
    </xf>
    <xf numFmtId="0" fontId="31" fillId="0" borderId="11" xfId="0" applyFont="1" applyBorder="1" applyAlignment="1">
      <alignment horizontal="left" vertical="center" wrapText="1"/>
    </xf>
    <xf numFmtId="0" fontId="3" fillId="0" borderId="25" xfId="0" applyFont="1" applyBorder="1" applyAlignment="1">
      <alignment horizontal="left" vertical="center" wrapText="1"/>
    </xf>
    <xf numFmtId="0" fontId="31" fillId="0" borderId="31" xfId="0" applyFont="1" applyBorder="1" applyAlignment="1">
      <alignment horizontal="left" vertical="center" wrapText="1"/>
    </xf>
    <xf numFmtId="0" fontId="31" fillId="0" borderId="19" xfId="0" applyFont="1" applyBorder="1" applyAlignment="1">
      <alignment horizontal="left" vertical="center" wrapText="1"/>
    </xf>
    <xf numFmtId="0" fontId="31" fillId="0" borderId="32" xfId="0" applyFont="1" applyBorder="1" applyAlignment="1">
      <alignment horizontal="left" vertical="center" wrapText="1"/>
    </xf>
    <xf numFmtId="0" fontId="31" fillId="0" borderId="46" xfId="0" applyFont="1" applyBorder="1" applyAlignment="1">
      <alignment horizontal="left" vertical="center" wrapText="1"/>
    </xf>
    <xf numFmtId="0" fontId="31" fillId="0" borderId="34" xfId="0" applyFont="1" applyBorder="1" applyAlignment="1">
      <alignment horizontal="left" vertical="center" wrapText="1"/>
    </xf>
    <xf numFmtId="0" fontId="31" fillId="0" borderId="30" xfId="0" applyFont="1" applyBorder="1" applyAlignment="1">
      <alignment horizontal="left" vertical="center" wrapText="1"/>
    </xf>
    <xf numFmtId="0" fontId="31" fillId="0" borderId="14" xfId="0" applyFont="1" applyBorder="1" applyAlignment="1">
      <alignment horizontal="left" vertical="center" wrapText="1"/>
    </xf>
    <xf numFmtId="0" fontId="31" fillId="0" borderId="33" xfId="0" applyFont="1" applyBorder="1" applyAlignment="1">
      <alignment horizontal="left" vertical="center" wrapText="1"/>
    </xf>
    <xf numFmtId="164" fontId="27" fillId="0" borderId="28" xfId="0" applyNumberFormat="1" applyFont="1" applyBorder="1" applyAlignment="1">
      <alignment horizontal="center"/>
    </xf>
    <xf numFmtId="164" fontId="27" fillId="0" borderId="29" xfId="0" applyNumberFormat="1" applyFont="1" applyBorder="1" applyAlignment="1">
      <alignment horizontal="center"/>
    </xf>
    <xf numFmtId="0" fontId="31" fillId="0" borderId="48" xfId="0" applyFont="1" applyBorder="1" applyAlignment="1">
      <alignment horizontal="left" vertical="center" wrapText="1"/>
    </xf>
    <xf numFmtId="0" fontId="31" fillId="0" borderId="47" xfId="0" applyFont="1" applyBorder="1" applyAlignment="1">
      <alignment horizontal="left" vertical="center" wrapText="1"/>
    </xf>
    <xf numFmtId="0" fontId="38" fillId="0" borderId="1" xfId="0" applyFont="1" applyBorder="1" applyAlignment="1">
      <alignment horizontal="left" vertical="center" wrapText="1"/>
    </xf>
    <xf numFmtId="0" fontId="38" fillId="0" borderId="3" xfId="0" applyFont="1" applyBorder="1" applyAlignment="1">
      <alignment horizontal="left" vertical="center" wrapText="1"/>
    </xf>
    <xf numFmtId="0" fontId="38" fillId="0" borderId="22" xfId="0" applyFont="1" applyBorder="1" applyAlignment="1">
      <alignment horizontal="left" vertical="center" wrapText="1"/>
    </xf>
    <xf numFmtId="0" fontId="38" fillId="0" borderId="5" xfId="0" applyFont="1" applyBorder="1" applyAlignment="1">
      <alignment horizontal="left" vertical="center" wrapText="1"/>
    </xf>
    <xf numFmtId="0" fontId="38" fillId="0" borderId="0" xfId="0" applyFont="1" applyAlignment="1">
      <alignment horizontal="left" vertical="center" wrapText="1"/>
    </xf>
    <xf numFmtId="0" fontId="38" fillId="0" borderId="12" xfId="0" applyFont="1" applyBorder="1" applyAlignment="1">
      <alignment horizontal="left" vertical="center" wrapText="1"/>
    </xf>
    <xf numFmtId="0" fontId="38" fillId="0" borderId="8" xfId="0" applyFont="1" applyBorder="1" applyAlignment="1">
      <alignment horizontal="left" vertical="center" wrapText="1"/>
    </xf>
    <xf numFmtId="0" fontId="38" fillId="0" borderId="10" xfId="0" applyFont="1" applyBorder="1" applyAlignment="1">
      <alignment horizontal="left" vertical="center" wrapText="1"/>
    </xf>
    <xf numFmtId="0" fontId="38" fillId="0" borderId="11" xfId="0" applyFont="1" applyBorder="1" applyAlignment="1">
      <alignment horizontal="left" vertical="center" wrapText="1"/>
    </xf>
    <xf numFmtId="0" fontId="11" fillId="0" borderId="36" xfId="0" applyFont="1"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31" fillId="0" borderId="36" xfId="0" applyFont="1" applyBorder="1" applyAlignment="1">
      <alignment horizontal="left" vertical="center"/>
    </xf>
    <xf numFmtId="0" fontId="31" fillId="0" borderId="37" xfId="0" applyFont="1" applyBorder="1" applyAlignment="1">
      <alignment horizontal="left" vertical="center"/>
    </xf>
    <xf numFmtId="0" fontId="31" fillId="0" borderId="38" xfId="0" applyFont="1" applyBorder="1" applyAlignment="1">
      <alignment horizontal="left" vertical="center"/>
    </xf>
    <xf numFmtId="0" fontId="26" fillId="0" borderId="40" xfId="0" applyFont="1" applyBorder="1" applyAlignment="1">
      <alignment horizontal="center"/>
    </xf>
    <xf numFmtId="0" fontId="26" fillId="0" borderId="2" xfId="0" applyFont="1" applyBorder="1" applyAlignment="1">
      <alignment horizontal="center"/>
    </xf>
    <xf numFmtId="0" fontId="26" fillId="0" borderId="4" xfId="0" applyFont="1" applyBorder="1" applyAlignment="1">
      <alignment horizontal="center"/>
    </xf>
    <xf numFmtId="0" fontId="26" fillId="0" borderId="25" xfId="0" applyFont="1" applyBorder="1" applyAlignment="1">
      <alignment horizontal="left" vertical="center" wrapText="1"/>
    </xf>
    <xf numFmtId="0" fontId="18" fillId="0" borderId="1" xfId="0" applyFont="1" applyBorder="1" applyAlignment="1">
      <alignment horizontal="left" vertical="center"/>
    </xf>
    <xf numFmtId="0" fontId="18" fillId="0" borderId="3" xfId="0" applyFont="1" applyBorder="1" applyAlignment="1">
      <alignment horizontal="left" vertical="center"/>
    </xf>
    <xf numFmtId="0" fontId="18" fillId="0" borderId="22" xfId="0" applyFont="1" applyBorder="1" applyAlignment="1">
      <alignment horizontal="left" vertical="center"/>
    </xf>
    <xf numFmtId="0" fontId="18" fillId="0" borderId="5" xfId="0" applyFont="1" applyBorder="1" applyAlignment="1">
      <alignment horizontal="left" vertical="center"/>
    </xf>
    <xf numFmtId="0" fontId="18" fillId="0" borderId="0" xfId="0" applyFont="1" applyAlignment="1">
      <alignment horizontal="left" vertical="center"/>
    </xf>
    <xf numFmtId="0" fontId="18" fillId="0" borderId="12" xfId="0" applyFont="1" applyBorder="1" applyAlignment="1">
      <alignment horizontal="left" vertical="center"/>
    </xf>
    <xf numFmtId="0" fontId="18" fillId="0" borderId="5" xfId="0" applyFont="1" applyBorder="1" applyAlignment="1">
      <alignment horizontal="left"/>
    </xf>
    <xf numFmtId="0" fontId="18" fillId="0" borderId="0" xfId="0" applyFont="1" applyAlignment="1">
      <alignment horizontal="left"/>
    </xf>
    <xf numFmtId="0" fontId="18" fillId="0" borderId="12" xfId="0" applyFont="1" applyBorder="1" applyAlignment="1">
      <alignment horizontal="left"/>
    </xf>
    <xf numFmtId="0" fontId="18" fillId="0" borderId="8" xfId="0" applyFont="1" applyBorder="1" applyAlignment="1">
      <alignment horizontal="left"/>
    </xf>
    <xf numFmtId="0" fontId="18" fillId="0" borderId="10" xfId="0" applyFont="1" applyBorder="1" applyAlignment="1">
      <alignment horizontal="left"/>
    </xf>
    <xf numFmtId="0" fontId="18" fillId="0" borderId="11" xfId="0" applyFont="1" applyBorder="1" applyAlignment="1">
      <alignment horizontal="left"/>
    </xf>
    <xf numFmtId="0" fontId="33" fillId="0" borderId="36" xfId="0" applyFont="1" applyBorder="1" applyAlignment="1">
      <alignment horizontal="left" vertical="center"/>
    </xf>
    <xf numFmtId="0" fontId="33" fillId="0" borderId="37" xfId="0" applyFont="1" applyBorder="1" applyAlignment="1">
      <alignment horizontal="left" vertical="center"/>
    </xf>
    <xf numFmtId="0" fontId="33" fillId="0" borderId="38" xfId="0" applyFont="1" applyBorder="1" applyAlignment="1">
      <alignment horizontal="left" vertical="center"/>
    </xf>
    <xf numFmtId="0" fontId="18" fillId="0" borderId="1" xfId="0" applyFont="1" applyBorder="1" applyAlignment="1">
      <alignment horizontal="left" vertical="center" wrapText="1"/>
    </xf>
    <xf numFmtId="0" fontId="18" fillId="0" borderId="3" xfId="0" applyFont="1" applyBorder="1" applyAlignment="1">
      <alignment horizontal="left" vertical="center" wrapText="1"/>
    </xf>
    <xf numFmtId="0" fontId="18" fillId="0" borderId="22" xfId="0" applyFont="1" applyBorder="1" applyAlignment="1">
      <alignment horizontal="left" vertical="center" wrapText="1"/>
    </xf>
    <xf numFmtId="0" fontId="18" fillId="0" borderId="5" xfId="0" applyFont="1" applyBorder="1" applyAlignment="1">
      <alignment horizontal="left" vertical="center" wrapText="1"/>
    </xf>
    <xf numFmtId="0" fontId="18" fillId="0" borderId="0" xfId="0" applyFont="1" applyAlignment="1">
      <alignment horizontal="left" vertical="center" wrapText="1"/>
    </xf>
    <xf numFmtId="0" fontId="18" fillId="0" borderId="12" xfId="0" applyFont="1" applyBorder="1" applyAlignment="1">
      <alignment horizontal="left" vertical="center" wrapText="1"/>
    </xf>
    <xf numFmtId="0" fontId="18" fillId="0" borderId="8" xfId="0" applyFont="1" applyBorder="1" applyAlignment="1">
      <alignment horizontal="left" vertical="center" wrapText="1"/>
    </xf>
    <xf numFmtId="0" fontId="18" fillId="0" borderId="10" xfId="0" applyFont="1" applyBorder="1" applyAlignment="1">
      <alignment horizontal="left" vertical="center" wrapText="1"/>
    </xf>
    <xf numFmtId="0" fontId="18" fillId="0" borderId="11" xfId="0" applyFont="1" applyBorder="1" applyAlignment="1">
      <alignment horizontal="left" vertical="center" wrapText="1"/>
    </xf>
    <xf numFmtId="0" fontId="26" fillId="0" borderId="28" xfId="0" applyFont="1" applyBorder="1" applyAlignment="1">
      <alignment horizontal="center" vertical="center"/>
    </xf>
    <xf numFmtId="0" fontId="26" fillId="0" borderId="6" xfId="0" applyFont="1" applyBorder="1" applyAlignment="1">
      <alignment horizontal="center" vertical="center"/>
    </xf>
    <xf numFmtId="0" fontId="26" fillId="0" borderId="29" xfId="0" applyFont="1" applyBorder="1" applyAlignment="1">
      <alignment horizontal="center" vertical="center"/>
    </xf>
    <xf numFmtId="0" fontId="26" fillId="0" borderId="1" xfId="0" applyFont="1" applyBorder="1" applyAlignment="1">
      <alignment horizontal="left" vertical="center" wrapText="1"/>
    </xf>
    <xf numFmtId="0" fontId="26" fillId="0" borderId="3" xfId="0" applyFont="1" applyBorder="1" applyAlignment="1">
      <alignment horizontal="left" vertical="center" wrapText="1"/>
    </xf>
    <xf numFmtId="0" fontId="26" fillId="0" borderId="22" xfId="0" applyFont="1" applyBorder="1" applyAlignment="1">
      <alignment horizontal="left" vertical="center" wrapText="1"/>
    </xf>
    <xf numFmtId="0" fontId="26" fillId="0" borderId="5" xfId="0" applyFont="1" applyBorder="1" applyAlignment="1">
      <alignment horizontal="left" vertical="center" wrapText="1"/>
    </xf>
    <xf numFmtId="0" fontId="26" fillId="0" borderId="0" xfId="0" applyFont="1" applyAlignment="1">
      <alignment horizontal="left" vertical="center" wrapText="1"/>
    </xf>
    <xf numFmtId="0" fontId="26" fillId="0" borderId="12" xfId="0" applyFont="1" applyBorder="1" applyAlignment="1">
      <alignment horizontal="left" vertical="center" wrapText="1"/>
    </xf>
    <xf numFmtId="0" fontId="26" fillId="0" borderId="8" xfId="0" applyFont="1" applyBorder="1" applyAlignment="1">
      <alignment horizontal="left" vertical="center" wrapText="1"/>
    </xf>
    <xf numFmtId="0" fontId="26" fillId="0" borderId="10" xfId="0" applyFont="1" applyBorder="1" applyAlignment="1">
      <alignment horizontal="left" vertical="center" wrapText="1"/>
    </xf>
    <xf numFmtId="0" fontId="26" fillId="0" borderId="11" xfId="0" applyFont="1" applyBorder="1" applyAlignment="1">
      <alignment horizontal="left" vertical="center" wrapText="1"/>
    </xf>
    <xf numFmtId="0" fontId="26" fillId="0" borderId="25" xfId="0" applyFont="1" applyBorder="1" applyAlignment="1">
      <alignment horizontal="center" vertical="center"/>
    </xf>
    <xf numFmtId="0" fontId="26" fillId="0" borderId="25" xfId="0" applyFont="1" applyBorder="1" applyAlignment="1">
      <alignment horizontal="center"/>
    </xf>
  </cellXfs>
  <cellStyles count="2">
    <cellStyle name="Normal" xfId="0" builtinId="0"/>
    <cellStyle name="Porcentaje" xfId="1"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78"/>
  <sheetViews>
    <sheetView workbookViewId="0">
      <selection activeCell="H44" sqref="H44"/>
    </sheetView>
  </sheetViews>
  <sheetFormatPr baseColWidth="10" defaultColWidth="11.42578125" defaultRowHeight="15" x14ac:dyDescent="0.25"/>
  <cols>
    <col min="1" max="1" width="5.42578125" style="61" customWidth="1"/>
    <col min="2" max="2" width="13" style="61" customWidth="1"/>
    <col min="3" max="3" width="40.42578125" style="61" customWidth="1"/>
    <col min="4" max="4" width="17.85546875" style="61" customWidth="1"/>
    <col min="5" max="5" width="16.7109375" style="61" customWidth="1"/>
    <col min="6" max="6" width="14.85546875" style="61" customWidth="1"/>
    <col min="7" max="7" width="11.42578125" style="61"/>
    <col min="8" max="8" width="39.42578125" style="61" customWidth="1"/>
    <col min="9" max="9" width="18.85546875" style="61" customWidth="1"/>
    <col min="10" max="10" width="17.140625" style="61" customWidth="1"/>
    <col min="11" max="11" width="27.28515625" style="61" customWidth="1"/>
    <col min="12" max="12" width="15.7109375" style="61" customWidth="1"/>
    <col min="13" max="13" width="39.42578125" style="61" customWidth="1"/>
    <col min="14" max="14" width="15.42578125" style="61" customWidth="1"/>
    <col min="15" max="15" width="15.7109375" style="61" customWidth="1"/>
    <col min="16" max="16384" width="11.42578125" style="61"/>
  </cols>
  <sheetData>
    <row r="1" spans="2:11" ht="20.100000000000001" customHeight="1" x14ac:dyDescent="0.25">
      <c r="B1" s="280"/>
      <c r="C1" s="280"/>
      <c r="D1" s="280"/>
      <c r="E1" s="280"/>
    </row>
    <row r="2" spans="2:11" ht="31.5" customHeight="1" x14ac:dyDescent="0.25">
      <c r="B2" s="281" t="s">
        <v>127</v>
      </c>
      <c r="C2" s="281"/>
      <c r="D2" s="281"/>
      <c r="E2" s="281"/>
      <c r="G2" s="223" t="s">
        <v>120</v>
      </c>
      <c r="H2" s="224"/>
      <c r="I2" s="224"/>
    </row>
    <row r="3" spans="2:11" ht="15" customHeight="1" x14ac:dyDescent="0.25">
      <c r="B3" s="278" t="s">
        <v>60</v>
      </c>
      <c r="C3" s="278" t="s">
        <v>61</v>
      </c>
      <c r="D3" s="279" t="s">
        <v>62</v>
      </c>
      <c r="E3" s="279" t="s">
        <v>63</v>
      </c>
      <c r="G3" s="217">
        <v>2015</v>
      </c>
      <c r="H3" s="225" t="s">
        <v>125</v>
      </c>
      <c r="I3" s="225" t="s">
        <v>122</v>
      </c>
    </row>
    <row r="4" spans="2:11" x14ac:dyDescent="0.25">
      <c r="B4" s="278"/>
      <c r="C4" s="278"/>
      <c r="D4" s="279"/>
      <c r="E4" s="279"/>
      <c r="G4" s="218"/>
      <c r="H4" s="225"/>
      <c r="I4" s="225"/>
    </row>
    <row r="5" spans="2:11" ht="15" customHeight="1" x14ac:dyDescent="0.25">
      <c r="B5" s="274" t="s">
        <v>64</v>
      </c>
      <c r="C5" s="232" t="s">
        <v>65</v>
      </c>
      <c r="D5" s="276">
        <v>1056.9000000000001</v>
      </c>
      <c r="E5" s="276">
        <v>3606</v>
      </c>
      <c r="G5" s="218"/>
      <c r="H5" s="225"/>
      <c r="I5" s="225"/>
    </row>
    <row r="6" spans="2:11" ht="15" customHeight="1" x14ac:dyDescent="0.25">
      <c r="B6" s="275"/>
      <c r="C6" s="233"/>
      <c r="D6" s="277"/>
      <c r="E6" s="277"/>
      <c r="G6" s="218"/>
      <c r="H6" s="226" t="s">
        <v>124</v>
      </c>
      <c r="I6" s="225" t="s">
        <v>123</v>
      </c>
    </row>
    <row r="7" spans="2:11" ht="15" customHeight="1" x14ac:dyDescent="0.25">
      <c r="B7" s="274" t="s">
        <v>66</v>
      </c>
      <c r="C7" s="232" t="s">
        <v>67</v>
      </c>
      <c r="D7" s="276">
        <v>876.6</v>
      </c>
      <c r="E7" s="276">
        <v>3606</v>
      </c>
      <c r="G7" s="218"/>
      <c r="H7" s="226"/>
      <c r="I7" s="225"/>
    </row>
    <row r="8" spans="2:11" ht="15" customHeight="1" x14ac:dyDescent="0.25">
      <c r="B8" s="275"/>
      <c r="C8" s="233"/>
      <c r="D8" s="277"/>
      <c r="E8" s="277"/>
      <c r="G8" s="219"/>
      <c r="H8" s="226"/>
      <c r="I8" s="225"/>
    </row>
    <row r="9" spans="2:11" ht="15" customHeight="1" x14ac:dyDescent="0.25">
      <c r="B9" s="274" t="s">
        <v>68</v>
      </c>
      <c r="C9" s="232" t="s">
        <v>69</v>
      </c>
      <c r="D9" s="276">
        <v>762.6</v>
      </c>
      <c r="E9" s="276">
        <v>3606</v>
      </c>
    </row>
    <row r="10" spans="2:11" ht="15" customHeight="1" x14ac:dyDescent="0.25">
      <c r="B10" s="275"/>
      <c r="C10" s="233"/>
      <c r="D10" s="277"/>
      <c r="E10" s="277"/>
    </row>
    <row r="11" spans="2:11" ht="15" customHeight="1" x14ac:dyDescent="0.25">
      <c r="B11" s="274" t="s">
        <v>70</v>
      </c>
      <c r="C11" s="232" t="s">
        <v>71</v>
      </c>
      <c r="D11" s="276">
        <v>756.6</v>
      </c>
      <c r="E11" s="276">
        <v>3606</v>
      </c>
    </row>
    <row r="12" spans="2:11" x14ac:dyDescent="0.25">
      <c r="B12" s="275"/>
      <c r="C12" s="233"/>
      <c r="D12" s="277"/>
      <c r="E12" s="277"/>
      <c r="G12" s="216">
        <v>2015</v>
      </c>
      <c r="H12" s="227" t="s">
        <v>97</v>
      </c>
      <c r="I12" s="228"/>
      <c r="J12" s="236" t="s">
        <v>98</v>
      </c>
      <c r="K12" s="236" t="s">
        <v>99</v>
      </c>
    </row>
    <row r="13" spans="2:11" ht="15" customHeight="1" x14ac:dyDescent="0.25">
      <c r="B13" s="274" t="s">
        <v>72</v>
      </c>
      <c r="C13" s="232" t="s">
        <v>73</v>
      </c>
      <c r="D13" s="276">
        <v>756.6</v>
      </c>
      <c r="E13" s="276">
        <v>3606</v>
      </c>
      <c r="G13" s="216"/>
      <c r="H13" s="229"/>
      <c r="I13" s="230"/>
      <c r="J13" s="237"/>
      <c r="K13" s="237"/>
    </row>
    <row r="14" spans="2:11" ht="15" customHeight="1" x14ac:dyDescent="0.25">
      <c r="B14" s="275"/>
      <c r="C14" s="233"/>
      <c r="D14" s="277"/>
      <c r="E14" s="277"/>
      <c r="G14" s="216"/>
      <c r="H14" s="238" t="s">
        <v>100</v>
      </c>
      <c r="I14" s="239"/>
      <c r="J14" s="242" t="s">
        <v>101</v>
      </c>
      <c r="K14" s="242" t="s">
        <v>102</v>
      </c>
    </row>
    <row r="15" spans="2:11" ht="15" customHeight="1" x14ac:dyDescent="0.25">
      <c r="B15" s="274" t="s">
        <v>74</v>
      </c>
      <c r="C15" s="232" t="s">
        <v>75</v>
      </c>
      <c r="D15" s="276">
        <v>756.6</v>
      </c>
      <c r="E15" s="276">
        <v>3606</v>
      </c>
      <c r="G15" s="216"/>
      <c r="H15" s="240"/>
      <c r="I15" s="241"/>
      <c r="J15" s="243"/>
      <c r="K15" s="243"/>
    </row>
    <row r="16" spans="2:11" ht="15" customHeight="1" x14ac:dyDescent="0.25">
      <c r="B16" s="275"/>
      <c r="C16" s="233"/>
      <c r="D16" s="277"/>
      <c r="E16" s="277"/>
      <c r="G16" s="216"/>
      <c r="H16" s="238" t="s">
        <v>103</v>
      </c>
      <c r="I16" s="239"/>
      <c r="J16" s="242" t="s">
        <v>104</v>
      </c>
      <c r="K16" s="242" t="s">
        <v>105</v>
      </c>
    </row>
    <row r="17" spans="2:11" ht="15" customHeight="1" x14ac:dyDescent="0.25">
      <c r="B17" s="274" t="s">
        <v>76</v>
      </c>
      <c r="C17" s="232" t="s">
        <v>77</v>
      </c>
      <c r="D17" s="276">
        <v>756.6</v>
      </c>
      <c r="E17" s="276">
        <v>3606</v>
      </c>
      <c r="G17" s="216"/>
      <c r="H17" s="240"/>
      <c r="I17" s="241"/>
      <c r="J17" s="243"/>
      <c r="K17" s="243"/>
    </row>
    <row r="18" spans="2:11" ht="15" customHeight="1" x14ac:dyDescent="0.25">
      <c r="B18" s="275"/>
      <c r="C18" s="233"/>
      <c r="D18" s="277"/>
      <c r="E18" s="277"/>
    </row>
    <row r="19" spans="2:11" ht="15" customHeight="1" x14ac:dyDescent="0.25">
      <c r="B19" s="278" t="s">
        <v>78</v>
      </c>
      <c r="C19" s="278" t="s">
        <v>61</v>
      </c>
      <c r="D19" s="279" t="s">
        <v>79</v>
      </c>
      <c r="E19" s="279" t="s">
        <v>79</v>
      </c>
    </row>
    <row r="20" spans="2:11" x14ac:dyDescent="0.25">
      <c r="B20" s="278"/>
      <c r="C20" s="278"/>
      <c r="D20" s="279"/>
      <c r="E20" s="279"/>
    </row>
    <row r="21" spans="2:11" x14ac:dyDescent="0.25">
      <c r="B21" s="274" t="s">
        <v>80</v>
      </c>
      <c r="C21" s="232" t="s">
        <v>81</v>
      </c>
      <c r="D21" s="276">
        <v>25.22</v>
      </c>
      <c r="E21" s="276">
        <v>120.2</v>
      </c>
      <c r="G21" s="231">
        <v>2015</v>
      </c>
      <c r="H21" s="248" t="s">
        <v>106</v>
      </c>
      <c r="I21" s="244" t="s">
        <v>107</v>
      </c>
      <c r="J21" s="244" t="s">
        <v>108</v>
      </c>
      <c r="K21" s="244" t="s">
        <v>109</v>
      </c>
    </row>
    <row r="22" spans="2:11" x14ac:dyDescent="0.25">
      <c r="B22" s="275"/>
      <c r="C22" s="233"/>
      <c r="D22" s="277"/>
      <c r="E22" s="277"/>
      <c r="G22" s="231"/>
      <c r="H22" s="248"/>
      <c r="I22" s="244"/>
      <c r="J22" s="244"/>
      <c r="K22" s="244"/>
    </row>
    <row r="23" spans="2:11" x14ac:dyDescent="0.25">
      <c r="B23" s="274" t="s">
        <v>82</v>
      </c>
      <c r="C23" s="232" t="s">
        <v>83</v>
      </c>
      <c r="D23" s="276">
        <v>25.22</v>
      </c>
      <c r="E23" s="276">
        <v>120.2</v>
      </c>
      <c r="G23" s="231"/>
      <c r="H23" s="245" t="s">
        <v>110</v>
      </c>
      <c r="I23" s="246" t="s">
        <v>111</v>
      </c>
      <c r="J23" s="246"/>
      <c r="K23" s="246"/>
    </row>
    <row r="24" spans="2:11" x14ac:dyDescent="0.25">
      <c r="B24" s="275"/>
      <c r="C24" s="233"/>
      <c r="D24" s="277"/>
      <c r="E24" s="277"/>
      <c r="G24" s="231"/>
      <c r="H24" s="245"/>
      <c r="I24" s="246"/>
      <c r="J24" s="246"/>
      <c r="K24" s="246"/>
    </row>
    <row r="25" spans="2:11" x14ac:dyDescent="0.25">
      <c r="B25" s="274" t="s">
        <v>84</v>
      </c>
      <c r="C25" s="232" t="s">
        <v>85</v>
      </c>
      <c r="D25" s="276">
        <v>25.22</v>
      </c>
      <c r="E25" s="276">
        <v>120.2</v>
      </c>
      <c r="G25" s="231"/>
      <c r="H25" s="247" t="s">
        <v>112</v>
      </c>
      <c r="I25" s="247"/>
      <c r="J25" s="247"/>
      <c r="K25" s="247"/>
    </row>
    <row r="26" spans="2:11" x14ac:dyDescent="0.25">
      <c r="B26" s="275"/>
      <c r="C26" s="233"/>
      <c r="D26" s="277"/>
      <c r="E26" s="277"/>
      <c r="G26" s="231"/>
      <c r="H26" s="247"/>
      <c r="I26" s="247"/>
      <c r="J26" s="247"/>
      <c r="K26" s="247"/>
    </row>
    <row r="27" spans="2:11" ht="15" customHeight="1" x14ac:dyDescent="0.25">
      <c r="B27" s="274" t="s">
        <v>86</v>
      </c>
      <c r="C27" s="232" t="s">
        <v>87</v>
      </c>
      <c r="D27" s="276">
        <v>25.22</v>
      </c>
      <c r="E27" s="276">
        <v>120.2</v>
      </c>
      <c r="G27" s="231"/>
      <c r="H27" s="247"/>
      <c r="I27" s="247"/>
      <c r="J27" s="247"/>
      <c r="K27" s="247"/>
    </row>
    <row r="28" spans="2:11" x14ac:dyDescent="0.25">
      <c r="B28" s="275"/>
      <c r="C28" s="233"/>
      <c r="D28" s="277"/>
      <c r="E28" s="277"/>
    </row>
    <row r="31" spans="2:11" ht="31.5" customHeight="1" x14ac:dyDescent="0.25">
      <c r="B31" s="223" t="s">
        <v>131</v>
      </c>
      <c r="C31" s="224"/>
      <c r="D31" s="224"/>
      <c r="E31" s="224"/>
      <c r="F31" s="224"/>
    </row>
    <row r="32" spans="2:11" x14ac:dyDescent="0.25">
      <c r="B32" s="220">
        <v>2015</v>
      </c>
      <c r="C32" s="271" t="s">
        <v>89</v>
      </c>
      <c r="D32" s="271" t="s">
        <v>90</v>
      </c>
      <c r="E32" s="272" t="s">
        <v>91</v>
      </c>
      <c r="F32" s="271" t="s">
        <v>59</v>
      </c>
    </row>
    <row r="33" spans="2:6" x14ac:dyDescent="0.25">
      <c r="B33" s="221"/>
      <c r="C33" s="271"/>
      <c r="D33" s="271"/>
      <c r="E33" s="273"/>
      <c r="F33" s="271"/>
    </row>
    <row r="34" spans="2:6" x14ac:dyDescent="0.25">
      <c r="B34" s="221"/>
      <c r="C34" s="232" t="s">
        <v>29</v>
      </c>
      <c r="D34" s="234">
        <v>0.23599999999999999</v>
      </c>
      <c r="E34" s="234">
        <v>4.7E-2</v>
      </c>
      <c r="F34" s="234">
        <f>D34+E34</f>
        <v>0.28299999999999997</v>
      </c>
    </row>
    <row r="35" spans="2:6" x14ac:dyDescent="0.25">
      <c r="B35" s="221"/>
      <c r="C35" s="233"/>
      <c r="D35" s="235"/>
      <c r="E35" s="235"/>
      <c r="F35" s="235"/>
    </row>
    <row r="36" spans="2:6" x14ac:dyDescent="0.25">
      <c r="B36" s="221"/>
      <c r="C36" s="232" t="s">
        <v>92</v>
      </c>
      <c r="D36" s="234">
        <v>0.12</v>
      </c>
      <c r="E36" s="234">
        <v>0.02</v>
      </c>
      <c r="F36" s="234">
        <f>D36+E36</f>
        <v>0.13999999999999999</v>
      </c>
    </row>
    <row r="37" spans="2:6" x14ac:dyDescent="0.25">
      <c r="B37" s="221"/>
      <c r="C37" s="233"/>
      <c r="D37" s="235"/>
      <c r="E37" s="235"/>
      <c r="F37" s="235"/>
    </row>
    <row r="38" spans="2:6" x14ac:dyDescent="0.25">
      <c r="B38" s="221"/>
      <c r="C38" s="232" t="s">
        <v>93</v>
      </c>
      <c r="D38" s="234">
        <v>0.23599999999999999</v>
      </c>
      <c r="E38" s="234">
        <v>4.7E-2</v>
      </c>
      <c r="F38" s="234">
        <f>D38+E38</f>
        <v>0.28299999999999997</v>
      </c>
    </row>
    <row r="39" spans="2:6" x14ac:dyDescent="0.25">
      <c r="B39" s="221"/>
      <c r="C39" s="233"/>
      <c r="D39" s="235"/>
      <c r="E39" s="235"/>
      <c r="F39" s="235"/>
    </row>
    <row r="40" spans="2:6" x14ac:dyDescent="0.25">
      <c r="B40" s="221"/>
      <c r="C40" s="232" t="s">
        <v>94</v>
      </c>
      <c r="D40" s="234">
        <v>5.5E-2</v>
      </c>
      <c r="E40" s="234">
        <v>1.55E-2</v>
      </c>
      <c r="F40" s="234">
        <f>D40+E40</f>
        <v>7.0500000000000007E-2</v>
      </c>
    </row>
    <row r="41" spans="2:6" x14ac:dyDescent="0.25">
      <c r="B41" s="221"/>
      <c r="C41" s="233"/>
      <c r="D41" s="235"/>
      <c r="E41" s="235"/>
      <c r="F41" s="235"/>
    </row>
    <row r="42" spans="2:6" x14ac:dyDescent="0.25">
      <c r="B42" s="221"/>
      <c r="C42" s="232" t="s">
        <v>95</v>
      </c>
      <c r="D42" s="234">
        <v>6.7000000000000004E-2</v>
      </c>
      <c r="E42" s="234">
        <v>1.6E-2</v>
      </c>
      <c r="F42" s="234">
        <f>D42+E42</f>
        <v>8.3000000000000004E-2</v>
      </c>
    </row>
    <row r="43" spans="2:6" x14ac:dyDescent="0.25">
      <c r="B43" s="221"/>
      <c r="C43" s="233"/>
      <c r="D43" s="235"/>
      <c r="E43" s="235"/>
      <c r="F43" s="235"/>
    </row>
    <row r="44" spans="2:6" x14ac:dyDescent="0.25">
      <c r="B44" s="221"/>
      <c r="C44" s="232" t="s">
        <v>55</v>
      </c>
      <c r="D44" s="234">
        <v>2E-3</v>
      </c>
      <c r="E44" s="234"/>
      <c r="F44" s="234">
        <f>D44+E44</f>
        <v>2E-3</v>
      </c>
    </row>
    <row r="45" spans="2:6" x14ac:dyDescent="0.25">
      <c r="B45" s="221"/>
      <c r="C45" s="233"/>
      <c r="D45" s="235"/>
      <c r="E45" s="235"/>
      <c r="F45" s="235"/>
    </row>
    <row r="46" spans="2:6" ht="20.100000000000001" customHeight="1" x14ac:dyDescent="0.25">
      <c r="B46" s="221"/>
      <c r="C46" s="232" t="s">
        <v>96</v>
      </c>
      <c r="D46" s="234">
        <v>6.0000000000000001E-3</v>
      </c>
      <c r="E46" s="234">
        <v>1E-3</v>
      </c>
      <c r="F46" s="234">
        <f>D46+E46</f>
        <v>7.0000000000000001E-3</v>
      </c>
    </row>
    <row r="47" spans="2:6" ht="20.100000000000001" customHeight="1" x14ac:dyDescent="0.25">
      <c r="B47" s="222"/>
      <c r="C47" s="233"/>
      <c r="D47" s="235"/>
      <c r="E47" s="235"/>
      <c r="F47" s="235"/>
    </row>
    <row r="50" spans="2:9" ht="20.100000000000001" customHeight="1" x14ac:dyDescent="0.25">
      <c r="B50" s="254" t="s">
        <v>113</v>
      </c>
      <c r="C50" s="255"/>
      <c r="D50" s="255"/>
      <c r="E50" s="255"/>
      <c r="F50" s="256"/>
    </row>
    <row r="51" spans="2:9" ht="20.100000000000001" customHeight="1" x14ac:dyDescent="0.25">
      <c r="B51" s="252" t="s">
        <v>121</v>
      </c>
      <c r="C51" s="253"/>
      <c r="D51" s="83" t="s">
        <v>114</v>
      </c>
      <c r="E51" s="83" t="s">
        <v>115</v>
      </c>
      <c r="F51" s="83" t="s">
        <v>50</v>
      </c>
    </row>
    <row r="52" spans="2:9" ht="20.100000000000001" customHeight="1" x14ac:dyDescent="0.25">
      <c r="B52" s="75"/>
      <c r="C52" s="76"/>
      <c r="D52" s="77"/>
      <c r="E52" s="77"/>
      <c r="F52" s="78"/>
    </row>
    <row r="53" spans="2:9" ht="20.100000000000001" customHeight="1" x14ac:dyDescent="0.25">
      <c r="B53" s="75"/>
      <c r="C53" s="79"/>
      <c r="D53" s="77"/>
      <c r="E53" s="77"/>
      <c r="F53" s="78"/>
    </row>
    <row r="54" spans="2:9" ht="15" customHeight="1" x14ac:dyDescent="0.25">
      <c r="B54" s="75"/>
      <c r="C54" s="80"/>
      <c r="D54" s="81"/>
      <c r="E54" s="81"/>
      <c r="F54" s="78"/>
    </row>
    <row r="55" spans="2:9" ht="20.100000000000001" customHeight="1" x14ac:dyDescent="0.25">
      <c r="B55" s="269"/>
      <c r="C55" s="261"/>
      <c r="D55" s="266"/>
      <c r="E55" s="266"/>
      <c r="F55" s="264"/>
    </row>
    <row r="56" spans="2:9" ht="20.100000000000001" customHeight="1" x14ac:dyDescent="0.25">
      <c r="B56" s="270"/>
      <c r="C56" s="262"/>
      <c r="D56" s="267"/>
      <c r="E56" s="267"/>
      <c r="F56" s="265"/>
    </row>
    <row r="57" spans="2:9" ht="20.100000000000001" customHeight="1" x14ac:dyDescent="0.25">
      <c r="B57" s="75"/>
      <c r="C57" s="80"/>
      <c r="D57" s="81"/>
      <c r="E57" s="81"/>
      <c r="F57" s="80"/>
    </row>
    <row r="58" spans="2:9" ht="20.100000000000001" customHeight="1" x14ac:dyDescent="0.25">
      <c r="B58" s="260"/>
      <c r="C58" s="261"/>
      <c r="D58" s="266"/>
      <c r="E58" s="266"/>
      <c r="F58" s="264"/>
    </row>
    <row r="59" spans="2:9" ht="20.100000000000001" customHeight="1" x14ac:dyDescent="0.25">
      <c r="B59" s="260"/>
      <c r="C59" s="262"/>
      <c r="D59" s="267"/>
      <c r="E59" s="267"/>
      <c r="F59" s="265"/>
    </row>
    <row r="60" spans="2:9" ht="20.100000000000001" customHeight="1" x14ac:dyDescent="0.25">
      <c r="B60" s="260"/>
      <c r="C60" s="261"/>
      <c r="D60" s="263"/>
      <c r="E60" s="263"/>
      <c r="F60" s="264"/>
    </row>
    <row r="61" spans="2:9" x14ac:dyDescent="0.25">
      <c r="B61" s="260"/>
      <c r="C61" s="262"/>
      <c r="D61" s="263"/>
      <c r="E61" s="263"/>
      <c r="F61" s="265"/>
    </row>
    <row r="62" spans="2:9" ht="30" customHeight="1" x14ac:dyDescent="0.25">
      <c r="B62" s="260"/>
      <c r="C62" s="261"/>
      <c r="D62" s="263"/>
      <c r="E62" s="263"/>
      <c r="F62" s="264"/>
      <c r="H62" s="268"/>
      <c r="I62" s="268"/>
    </row>
    <row r="63" spans="2:9" ht="20.100000000000001" customHeight="1" x14ac:dyDescent="0.25">
      <c r="B63" s="260"/>
      <c r="C63" s="262"/>
      <c r="D63" s="263"/>
      <c r="E63" s="263"/>
      <c r="F63" s="265"/>
    </row>
    <row r="64" spans="2:9" ht="27.75" customHeight="1" x14ac:dyDescent="0.25">
      <c r="B64" s="249" t="s">
        <v>116</v>
      </c>
      <c r="C64" s="250"/>
      <c r="D64" s="250"/>
      <c r="E64" s="250"/>
      <c r="F64" s="251"/>
    </row>
    <row r="65" spans="2:6" ht="24.75" customHeight="1" x14ac:dyDescent="0.25">
      <c r="B65" s="82" t="s">
        <v>117</v>
      </c>
      <c r="C65" s="257" t="s">
        <v>118</v>
      </c>
      <c r="D65" s="258"/>
      <c r="E65" s="258"/>
      <c r="F65" s="259"/>
    </row>
    <row r="66" spans="2:6" ht="24.75" customHeight="1" x14ac:dyDescent="0.25">
      <c r="B66" s="82" t="s">
        <v>117</v>
      </c>
      <c r="C66" s="257" t="s">
        <v>119</v>
      </c>
      <c r="D66" s="258"/>
      <c r="E66" s="258"/>
      <c r="F66" s="259"/>
    </row>
    <row r="67" spans="2:6" ht="21.75" customHeight="1" x14ac:dyDescent="0.25"/>
    <row r="68" spans="2:6" ht="27" customHeight="1" x14ac:dyDescent="0.25"/>
    <row r="69" spans="2:6" ht="24.75" customHeight="1" x14ac:dyDescent="0.25"/>
    <row r="70" spans="2:6" ht="20.100000000000001" customHeight="1" x14ac:dyDescent="0.25"/>
    <row r="71" spans="2:6" ht="30.75" customHeight="1" x14ac:dyDescent="0.25"/>
    <row r="72" spans="2:6" ht="20.100000000000001" customHeight="1" x14ac:dyDescent="0.25"/>
    <row r="73" spans="2:6" ht="27" customHeight="1" x14ac:dyDescent="0.25"/>
    <row r="74" spans="2:6" ht="20.100000000000001" customHeight="1" x14ac:dyDescent="0.25"/>
    <row r="75" spans="2:6" ht="20.100000000000001" customHeight="1" x14ac:dyDescent="0.25"/>
    <row r="76" spans="2:6" ht="39" customHeight="1" x14ac:dyDescent="0.25"/>
    <row r="77" spans="2:6" ht="20.100000000000001" customHeight="1" x14ac:dyDescent="0.25"/>
    <row r="78" spans="2:6" ht="20.100000000000001" customHeight="1" x14ac:dyDescent="0.25"/>
  </sheetData>
  <mergeCells count="138">
    <mergeCell ref="B1:E1"/>
    <mergeCell ref="B2:E2"/>
    <mergeCell ref="B3:B4"/>
    <mergeCell ref="C3:C4"/>
    <mergeCell ref="D3:D4"/>
    <mergeCell ref="E3:E4"/>
    <mergeCell ref="B9:B10"/>
    <mergeCell ref="C9:C10"/>
    <mergeCell ref="D9:D10"/>
    <mergeCell ref="E9:E10"/>
    <mergeCell ref="B11:B12"/>
    <mergeCell ref="C11:C12"/>
    <mergeCell ref="D11:D12"/>
    <mergeCell ref="E11:E12"/>
    <mergeCell ref="B5:B6"/>
    <mergeCell ref="C5:C6"/>
    <mergeCell ref="D5:D6"/>
    <mergeCell ref="E5:E6"/>
    <mergeCell ref="B7:B8"/>
    <mergeCell ref="C7:C8"/>
    <mergeCell ref="D7:D8"/>
    <mergeCell ref="E7:E8"/>
    <mergeCell ref="B17:B18"/>
    <mergeCell ref="C17:C18"/>
    <mergeCell ref="D17:D18"/>
    <mergeCell ref="E17:E18"/>
    <mergeCell ref="B19:B20"/>
    <mergeCell ref="C19:C20"/>
    <mergeCell ref="D19:D20"/>
    <mergeCell ref="E19:E20"/>
    <mergeCell ref="B13:B14"/>
    <mergeCell ref="C13:C14"/>
    <mergeCell ref="D13:D14"/>
    <mergeCell ref="E13:E14"/>
    <mergeCell ref="B15:B16"/>
    <mergeCell ref="C15:C16"/>
    <mergeCell ref="D15:D16"/>
    <mergeCell ref="E15:E16"/>
    <mergeCell ref="B25:B26"/>
    <mergeCell ref="C25:C26"/>
    <mergeCell ref="D25:D26"/>
    <mergeCell ref="E25:E26"/>
    <mergeCell ref="B27:B28"/>
    <mergeCell ref="C27:C28"/>
    <mergeCell ref="D27:D28"/>
    <mergeCell ref="E27:E28"/>
    <mergeCell ref="B21:B22"/>
    <mergeCell ref="C21:C22"/>
    <mergeCell ref="D21:D22"/>
    <mergeCell ref="E21:E22"/>
    <mergeCell ref="B23:B24"/>
    <mergeCell ref="C23:C24"/>
    <mergeCell ref="D23:D24"/>
    <mergeCell ref="E23:E24"/>
    <mergeCell ref="E38:E39"/>
    <mergeCell ref="F38:F39"/>
    <mergeCell ref="F32:F33"/>
    <mergeCell ref="C34:C35"/>
    <mergeCell ref="D34:D35"/>
    <mergeCell ref="E34:E35"/>
    <mergeCell ref="F34:F35"/>
    <mergeCell ref="C32:C33"/>
    <mergeCell ref="D32:D33"/>
    <mergeCell ref="E32:E33"/>
    <mergeCell ref="D55:D56"/>
    <mergeCell ref="E55:E56"/>
    <mergeCell ref="F55:F56"/>
    <mergeCell ref="C44:C45"/>
    <mergeCell ref="D44:D45"/>
    <mergeCell ref="E44:E45"/>
    <mergeCell ref="F44:F45"/>
    <mergeCell ref="C46:C47"/>
    <mergeCell ref="D46:D47"/>
    <mergeCell ref="E46:E47"/>
    <mergeCell ref="F46:F47"/>
    <mergeCell ref="B64:F64"/>
    <mergeCell ref="B51:C51"/>
    <mergeCell ref="B50:F50"/>
    <mergeCell ref="C65:F65"/>
    <mergeCell ref="C66:F66"/>
    <mergeCell ref="G2:I2"/>
    <mergeCell ref="B62:B63"/>
    <mergeCell ref="C62:C63"/>
    <mergeCell ref="D62:D63"/>
    <mergeCell ref="E62:E63"/>
    <mergeCell ref="F62:F63"/>
    <mergeCell ref="B58:B59"/>
    <mergeCell ref="C58:C59"/>
    <mergeCell ref="D58:D59"/>
    <mergeCell ref="E58:E59"/>
    <mergeCell ref="F58:F59"/>
    <mergeCell ref="B60:B61"/>
    <mergeCell ref="C60:C61"/>
    <mergeCell ref="D60:D61"/>
    <mergeCell ref="E60:E61"/>
    <mergeCell ref="F60:F61"/>
    <mergeCell ref="H62:I62"/>
    <mergeCell ref="B55:B56"/>
    <mergeCell ref="C55:C56"/>
    <mergeCell ref="J12:J13"/>
    <mergeCell ref="K12:K13"/>
    <mergeCell ref="H14:I15"/>
    <mergeCell ref="J14:J15"/>
    <mergeCell ref="K14:K15"/>
    <mergeCell ref="K21:K22"/>
    <mergeCell ref="H23:H24"/>
    <mergeCell ref="I23:K24"/>
    <mergeCell ref="H25:K27"/>
    <mergeCell ref="H16:I17"/>
    <mergeCell ref="J16:J17"/>
    <mergeCell ref="K16:K17"/>
    <mergeCell ref="H21:H22"/>
    <mergeCell ref="I21:I22"/>
    <mergeCell ref="J21:J22"/>
    <mergeCell ref="G12:G17"/>
    <mergeCell ref="G3:G8"/>
    <mergeCell ref="B32:B47"/>
    <mergeCell ref="B31:F31"/>
    <mergeCell ref="H3:H5"/>
    <mergeCell ref="H6:H8"/>
    <mergeCell ref="I3:I5"/>
    <mergeCell ref="I6:I8"/>
    <mergeCell ref="H12:I13"/>
    <mergeCell ref="G21:G27"/>
    <mergeCell ref="C40:C41"/>
    <mergeCell ref="D40:D41"/>
    <mergeCell ref="E40:E41"/>
    <mergeCell ref="F40:F41"/>
    <mergeCell ref="C42:C43"/>
    <mergeCell ref="D42:D43"/>
    <mergeCell ref="E42:E43"/>
    <mergeCell ref="F42:F43"/>
    <mergeCell ref="C36:C37"/>
    <mergeCell ref="D36:D37"/>
    <mergeCell ref="E36:E37"/>
    <mergeCell ref="F36:F37"/>
    <mergeCell ref="C38:C39"/>
    <mergeCell ref="D38:D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66"/>
  <sheetViews>
    <sheetView workbookViewId="0">
      <selection activeCell="G20" sqref="G20:K25"/>
    </sheetView>
  </sheetViews>
  <sheetFormatPr baseColWidth="10" defaultColWidth="11.42578125" defaultRowHeight="15" x14ac:dyDescent="0.25"/>
  <cols>
    <col min="1" max="1" width="8.28515625" style="84" customWidth="1"/>
    <col min="2" max="2" width="14.140625" style="84" customWidth="1"/>
    <col min="3" max="3" width="59.85546875" style="84" customWidth="1"/>
    <col min="4" max="4" width="15.7109375" style="84" customWidth="1"/>
    <col min="5" max="5" width="15.42578125" style="84" customWidth="1"/>
    <col min="6" max="6" width="13.42578125" style="84" customWidth="1"/>
    <col min="7" max="7" width="11.42578125" style="84"/>
    <col min="8" max="8" width="36.140625" style="84" customWidth="1"/>
    <col min="9" max="9" width="22.7109375" style="84" customWidth="1"/>
    <col min="10" max="10" width="13.42578125" style="84" customWidth="1"/>
    <col min="11" max="11" width="22.28515625" style="84" customWidth="1"/>
    <col min="12" max="16384" width="11.42578125" style="84"/>
  </cols>
  <sheetData>
    <row r="2" spans="2:11" ht="30.75" customHeight="1" x14ac:dyDescent="0.25">
      <c r="B2" s="281" t="s">
        <v>126</v>
      </c>
      <c r="C2" s="281"/>
      <c r="D2" s="281"/>
      <c r="E2" s="281"/>
      <c r="G2" s="281" t="s">
        <v>130</v>
      </c>
      <c r="H2" s="281"/>
      <c r="I2" s="281"/>
    </row>
    <row r="3" spans="2:11" ht="15" customHeight="1" x14ac:dyDescent="0.25">
      <c r="B3" s="278" t="s">
        <v>60</v>
      </c>
      <c r="C3" s="278" t="s">
        <v>61</v>
      </c>
      <c r="D3" s="279" t="s">
        <v>62</v>
      </c>
      <c r="E3" s="279" t="s">
        <v>63</v>
      </c>
      <c r="G3" s="217">
        <v>2016</v>
      </c>
      <c r="H3" s="225" t="s">
        <v>125</v>
      </c>
      <c r="I3" s="225" t="s">
        <v>128</v>
      </c>
    </row>
    <row r="4" spans="2:11" ht="15" customHeight="1" x14ac:dyDescent="0.25">
      <c r="B4" s="278"/>
      <c r="C4" s="278"/>
      <c r="D4" s="279"/>
      <c r="E4" s="279"/>
      <c r="G4" s="218"/>
      <c r="H4" s="225"/>
      <c r="I4" s="225"/>
    </row>
    <row r="5" spans="2:11" ht="15" customHeight="1" x14ac:dyDescent="0.25">
      <c r="B5" s="274" t="s">
        <v>64</v>
      </c>
      <c r="C5" s="232" t="s">
        <v>65</v>
      </c>
      <c r="D5" s="276">
        <v>1067.4000000000001</v>
      </c>
      <c r="E5" s="276">
        <v>3642</v>
      </c>
      <c r="G5" s="218"/>
      <c r="H5" s="225"/>
      <c r="I5" s="225"/>
    </row>
    <row r="6" spans="2:11" x14ac:dyDescent="0.25">
      <c r="B6" s="275"/>
      <c r="C6" s="233"/>
      <c r="D6" s="277"/>
      <c r="E6" s="277"/>
      <c r="G6" s="218"/>
      <c r="H6" s="226" t="s">
        <v>124</v>
      </c>
      <c r="I6" s="225" t="s">
        <v>129</v>
      </c>
    </row>
    <row r="7" spans="2:11" x14ac:dyDescent="0.25">
      <c r="B7" s="274" t="s">
        <v>66</v>
      </c>
      <c r="C7" s="232" t="s">
        <v>67</v>
      </c>
      <c r="D7" s="276">
        <v>885.3</v>
      </c>
      <c r="E7" s="276">
        <v>3642</v>
      </c>
      <c r="G7" s="218"/>
      <c r="H7" s="226"/>
      <c r="I7" s="225"/>
    </row>
    <row r="8" spans="2:11" x14ac:dyDescent="0.25">
      <c r="B8" s="275"/>
      <c r="C8" s="233"/>
      <c r="D8" s="277"/>
      <c r="E8" s="277"/>
      <c r="G8" s="219"/>
      <c r="H8" s="226"/>
      <c r="I8" s="225"/>
    </row>
    <row r="9" spans="2:11" x14ac:dyDescent="0.25">
      <c r="B9" s="274" t="s">
        <v>68</v>
      </c>
      <c r="C9" s="232" t="s">
        <v>69</v>
      </c>
      <c r="D9" s="276">
        <v>770.1</v>
      </c>
      <c r="E9" s="276">
        <v>3642</v>
      </c>
    </row>
    <row r="10" spans="2:11" x14ac:dyDescent="0.25">
      <c r="B10" s="275"/>
      <c r="C10" s="233"/>
      <c r="D10" s="277"/>
      <c r="E10" s="277"/>
    </row>
    <row r="11" spans="2:11" x14ac:dyDescent="0.25">
      <c r="B11" s="274" t="s">
        <v>70</v>
      </c>
      <c r="C11" s="232" t="s">
        <v>71</v>
      </c>
      <c r="D11" s="276">
        <v>764.4</v>
      </c>
      <c r="E11" s="276">
        <v>3642</v>
      </c>
      <c r="G11" s="216">
        <v>2016</v>
      </c>
      <c r="H11" s="299" t="s">
        <v>97</v>
      </c>
      <c r="I11" s="299" t="s">
        <v>98</v>
      </c>
      <c r="J11" s="299" t="s">
        <v>99</v>
      </c>
      <c r="K11" s="61"/>
    </row>
    <row r="12" spans="2:11" x14ac:dyDescent="0.25">
      <c r="B12" s="275"/>
      <c r="C12" s="233"/>
      <c r="D12" s="277"/>
      <c r="E12" s="277"/>
      <c r="G12" s="216"/>
      <c r="H12" s="300"/>
      <c r="I12" s="300"/>
      <c r="J12" s="300"/>
      <c r="K12" s="61"/>
    </row>
    <row r="13" spans="2:11" x14ac:dyDescent="0.25">
      <c r="B13" s="274" t="s">
        <v>72</v>
      </c>
      <c r="C13" s="232" t="s">
        <v>73</v>
      </c>
      <c r="D13" s="276">
        <v>764.4</v>
      </c>
      <c r="E13" s="276">
        <v>3642</v>
      </c>
      <c r="G13" s="216"/>
      <c r="H13" s="301" t="s">
        <v>100</v>
      </c>
      <c r="I13" s="303" t="s">
        <v>101</v>
      </c>
      <c r="J13" s="303" t="s">
        <v>102</v>
      </c>
      <c r="K13" s="61"/>
    </row>
    <row r="14" spans="2:11" x14ac:dyDescent="0.25">
      <c r="B14" s="275"/>
      <c r="C14" s="233"/>
      <c r="D14" s="277"/>
      <c r="E14" s="277"/>
      <c r="G14" s="216"/>
      <c r="H14" s="302"/>
      <c r="I14" s="304"/>
      <c r="J14" s="304"/>
      <c r="K14" s="61"/>
    </row>
    <row r="15" spans="2:11" x14ac:dyDescent="0.25">
      <c r="B15" s="274" t="s">
        <v>74</v>
      </c>
      <c r="C15" s="232" t="s">
        <v>75</v>
      </c>
      <c r="D15" s="276">
        <v>764.4</v>
      </c>
      <c r="E15" s="276">
        <v>3642</v>
      </c>
      <c r="G15" s="216"/>
      <c r="H15" s="301" t="s">
        <v>103</v>
      </c>
      <c r="I15" s="303" t="s">
        <v>104</v>
      </c>
      <c r="J15" s="303" t="s">
        <v>105</v>
      </c>
      <c r="K15" s="61"/>
    </row>
    <row r="16" spans="2:11" x14ac:dyDescent="0.25">
      <c r="B16" s="275"/>
      <c r="C16" s="233"/>
      <c r="D16" s="277"/>
      <c r="E16" s="277"/>
      <c r="G16" s="216"/>
      <c r="H16" s="302"/>
      <c r="I16" s="304"/>
      <c r="J16" s="304"/>
      <c r="K16" s="61"/>
    </row>
    <row r="17" spans="2:13" x14ac:dyDescent="0.25">
      <c r="B17" s="274" t="s">
        <v>76</v>
      </c>
      <c r="C17" s="232" t="s">
        <v>77</v>
      </c>
      <c r="D17" s="276">
        <v>764.4</v>
      </c>
      <c r="E17" s="276">
        <v>3642</v>
      </c>
      <c r="G17" s="61"/>
      <c r="H17" s="61"/>
      <c r="I17" s="61"/>
      <c r="J17" s="61"/>
      <c r="K17" s="61"/>
    </row>
    <row r="18" spans="2:13" ht="15" customHeight="1" x14ac:dyDescent="0.25">
      <c r="B18" s="275"/>
      <c r="C18" s="233"/>
      <c r="D18" s="277"/>
      <c r="E18" s="277"/>
      <c r="G18" s="61"/>
      <c r="H18" s="61"/>
      <c r="I18" s="61"/>
      <c r="J18" s="61"/>
      <c r="K18" s="61"/>
      <c r="L18" s="61"/>
      <c r="M18" s="61"/>
    </row>
    <row r="19" spans="2:13" ht="15" customHeight="1" x14ac:dyDescent="0.25">
      <c r="B19" s="278" t="s">
        <v>78</v>
      </c>
      <c r="C19" s="278" t="s">
        <v>61</v>
      </c>
      <c r="D19" s="279" t="s">
        <v>79</v>
      </c>
      <c r="E19" s="279" t="s">
        <v>79</v>
      </c>
    </row>
    <row r="20" spans="2:13" ht="15" customHeight="1" x14ac:dyDescent="0.25">
      <c r="B20" s="278"/>
      <c r="C20" s="278"/>
      <c r="D20" s="279"/>
      <c r="E20" s="279"/>
      <c r="G20" s="217">
        <v>2016</v>
      </c>
      <c r="H20" s="281" t="s">
        <v>106</v>
      </c>
      <c r="I20" s="281" t="s">
        <v>107</v>
      </c>
      <c r="J20" s="281" t="s">
        <v>108</v>
      </c>
      <c r="K20" s="281" t="s">
        <v>109</v>
      </c>
    </row>
    <row r="21" spans="2:13" ht="15" customHeight="1" x14ac:dyDescent="0.25">
      <c r="B21" s="274" t="s">
        <v>80</v>
      </c>
      <c r="C21" s="232" t="s">
        <v>81</v>
      </c>
      <c r="D21" s="276">
        <v>25.48</v>
      </c>
      <c r="E21" s="276">
        <v>121.4</v>
      </c>
      <c r="G21" s="218"/>
      <c r="H21" s="281"/>
      <c r="I21" s="281"/>
      <c r="J21" s="281"/>
      <c r="K21" s="281"/>
    </row>
    <row r="22" spans="2:13" ht="15" customHeight="1" x14ac:dyDescent="0.25">
      <c r="B22" s="275"/>
      <c r="C22" s="233"/>
      <c r="D22" s="277"/>
      <c r="E22" s="277"/>
      <c r="G22" s="218"/>
      <c r="H22" s="292" t="s">
        <v>110</v>
      </c>
      <c r="I22" s="293" t="s">
        <v>111</v>
      </c>
      <c r="J22" s="294"/>
      <c r="K22" s="295"/>
    </row>
    <row r="23" spans="2:13" ht="15" customHeight="1" x14ac:dyDescent="0.25">
      <c r="B23" s="274" t="s">
        <v>82</v>
      </c>
      <c r="C23" s="232" t="s">
        <v>83</v>
      </c>
      <c r="D23" s="276">
        <v>25.48</v>
      </c>
      <c r="E23" s="276">
        <v>121.4</v>
      </c>
      <c r="G23" s="218"/>
      <c r="H23" s="292"/>
      <c r="I23" s="296"/>
      <c r="J23" s="297"/>
      <c r="K23" s="298"/>
    </row>
    <row r="24" spans="2:13" ht="63" customHeight="1" x14ac:dyDescent="0.25">
      <c r="B24" s="275"/>
      <c r="C24" s="233"/>
      <c r="D24" s="277"/>
      <c r="E24" s="277"/>
      <c r="G24" s="218"/>
      <c r="H24" s="292" t="s">
        <v>112</v>
      </c>
      <c r="I24" s="292"/>
      <c r="J24" s="292"/>
      <c r="K24" s="292"/>
    </row>
    <row r="25" spans="2:13" ht="15.75" customHeight="1" x14ac:dyDescent="0.25">
      <c r="B25" s="274" t="s">
        <v>84</v>
      </c>
      <c r="C25" s="232" t="s">
        <v>85</v>
      </c>
      <c r="D25" s="276">
        <v>25.48</v>
      </c>
      <c r="E25" s="276">
        <v>121.4</v>
      </c>
      <c r="G25" s="219"/>
      <c r="H25" s="292"/>
      <c r="I25" s="292"/>
      <c r="J25" s="292"/>
      <c r="K25" s="292"/>
    </row>
    <row r="26" spans="2:13" x14ac:dyDescent="0.25">
      <c r="B26" s="275"/>
      <c r="C26" s="233"/>
      <c r="D26" s="277"/>
      <c r="E26" s="277"/>
    </row>
    <row r="27" spans="2:13" x14ac:dyDescent="0.25">
      <c r="B27" s="274" t="s">
        <v>86</v>
      </c>
      <c r="C27" s="232" t="s">
        <v>87</v>
      </c>
      <c r="D27" s="276">
        <v>25.48</v>
      </c>
      <c r="E27" s="276">
        <v>121.4</v>
      </c>
    </row>
    <row r="28" spans="2:13" x14ac:dyDescent="0.25">
      <c r="B28" s="275"/>
      <c r="C28" s="233"/>
      <c r="D28" s="277"/>
      <c r="E28" s="277"/>
    </row>
    <row r="31" spans="2:13" ht="30" customHeight="1" x14ac:dyDescent="0.25">
      <c r="B31" s="281" t="s">
        <v>132</v>
      </c>
      <c r="C31" s="281"/>
      <c r="D31" s="281"/>
      <c r="E31" s="281"/>
      <c r="F31" s="281"/>
    </row>
    <row r="32" spans="2:13" x14ac:dyDescent="0.25">
      <c r="B32" s="220">
        <v>2016</v>
      </c>
      <c r="C32" s="271" t="s">
        <v>89</v>
      </c>
      <c r="D32" s="271" t="s">
        <v>90</v>
      </c>
      <c r="E32" s="272" t="s">
        <v>91</v>
      </c>
      <c r="F32" s="271" t="s">
        <v>59</v>
      </c>
    </row>
    <row r="33" spans="2:6" x14ac:dyDescent="0.25">
      <c r="B33" s="221"/>
      <c r="C33" s="271"/>
      <c r="D33" s="271"/>
      <c r="E33" s="273"/>
      <c r="F33" s="271"/>
    </row>
    <row r="34" spans="2:6" x14ac:dyDescent="0.25">
      <c r="B34" s="221"/>
      <c r="C34" s="232" t="s">
        <v>29</v>
      </c>
      <c r="D34" s="234">
        <v>0.23599999999999999</v>
      </c>
      <c r="E34" s="234">
        <v>4.7E-2</v>
      </c>
      <c r="F34" s="234">
        <f>D34+E34</f>
        <v>0.28299999999999997</v>
      </c>
    </row>
    <row r="35" spans="2:6" x14ac:dyDescent="0.25">
      <c r="B35" s="221"/>
      <c r="C35" s="233"/>
      <c r="D35" s="235"/>
      <c r="E35" s="235"/>
      <c r="F35" s="235"/>
    </row>
    <row r="36" spans="2:6" x14ac:dyDescent="0.25">
      <c r="B36" s="221"/>
      <c r="C36" s="232" t="s">
        <v>92</v>
      </c>
      <c r="D36" s="234">
        <v>0.12</v>
      </c>
      <c r="E36" s="234">
        <v>0.02</v>
      </c>
      <c r="F36" s="234">
        <f>D36+E36</f>
        <v>0.13999999999999999</v>
      </c>
    </row>
    <row r="37" spans="2:6" x14ac:dyDescent="0.25">
      <c r="B37" s="221"/>
      <c r="C37" s="233"/>
      <c r="D37" s="235"/>
      <c r="E37" s="235"/>
      <c r="F37" s="235"/>
    </row>
    <row r="38" spans="2:6" x14ac:dyDescent="0.25">
      <c r="B38" s="221"/>
      <c r="C38" s="232" t="s">
        <v>93</v>
      </c>
      <c r="D38" s="234">
        <v>0.23599999999999999</v>
      </c>
      <c r="E38" s="234">
        <v>4.7E-2</v>
      </c>
      <c r="F38" s="234">
        <f>D38+E38</f>
        <v>0.28299999999999997</v>
      </c>
    </row>
    <row r="39" spans="2:6" x14ac:dyDescent="0.25">
      <c r="B39" s="221"/>
      <c r="C39" s="233"/>
      <c r="D39" s="235"/>
      <c r="E39" s="235"/>
      <c r="F39" s="235"/>
    </row>
    <row r="40" spans="2:6" x14ac:dyDescent="0.25">
      <c r="B40" s="221"/>
      <c r="C40" s="232" t="s">
        <v>94</v>
      </c>
      <c r="D40" s="234">
        <v>5.5E-2</v>
      </c>
      <c r="E40" s="234">
        <v>1.55E-2</v>
      </c>
      <c r="F40" s="234">
        <f>D40+E40</f>
        <v>7.0500000000000007E-2</v>
      </c>
    </row>
    <row r="41" spans="2:6" x14ac:dyDescent="0.25">
      <c r="B41" s="221"/>
      <c r="C41" s="233"/>
      <c r="D41" s="235"/>
      <c r="E41" s="235"/>
      <c r="F41" s="235"/>
    </row>
    <row r="42" spans="2:6" x14ac:dyDescent="0.25">
      <c r="B42" s="221"/>
      <c r="C42" s="232" t="s">
        <v>95</v>
      </c>
      <c r="D42" s="234">
        <v>6.7000000000000004E-2</v>
      </c>
      <c r="E42" s="234">
        <v>1.6E-2</v>
      </c>
      <c r="F42" s="234">
        <f>D42+E42</f>
        <v>8.3000000000000004E-2</v>
      </c>
    </row>
    <row r="43" spans="2:6" x14ac:dyDescent="0.25">
      <c r="B43" s="221"/>
      <c r="C43" s="233"/>
      <c r="D43" s="235"/>
      <c r="E43" s="235"/>
      <c r="F43" s="235"/>
    </row>
    <row r="44" spans="2:6" x14ac:dyDescent="0.25">
      <c r="B44" s="221"/>
      <c r="C44" s="232" t="s">
        <v>55</v>
      </c>
      <c r="D44" s="234">
        <v>2E-3</v>
      </c>
      <c r="E44" s="234"/>
      <c r="F44" s="234">
        <f>D44+E44</f>
        <v>2E-3</v>
      </c>
    </row>
    <row r="45" spans="2:6" x14ac:dyDescent="0.25">
      <c r="B45" s="221"/>
      <c r="C45" s="233"/>
      <c r="D45" s="235"/>
      <c r="E45" s="235"/>
      <c r="F45" s="235"/>
    </row>
    <row r="46" spans="2:6" x14ac:dyDescent="0.25">
      <c r="B46" s="221"/>
      <c r="C46" s="232" t="s">
        <v>96</v>
      </c>
      <c r="D46" s="234">
        <v>6.0000000000000001E-3</v>
      </c>
      <c r="E46" s="234">
        <v>1E-3</v>
      </c>
      <c r="F46" s="234">
        <f>D46+E46</f>
        <v>7.0000000000000001E-3</v>
      </c>
    </row>
    <row r="47" spans="2:6" x14ac:dyDescent="0.25">
      <c r="B47" s="222"/>
      <c r="C47" s="233"/>
      <c r="D47" s="235"/>
      <c r="E47" s="235"/>
      <c r="F47" s="235"/>
    </row>
    <row r="50" spans="2:6" ht="32.25" customHeight="1" x14ac:dyDescent="0.25">
      <c r="B50" s="286" t="s">
        <v>133</v>
      </c>
      <c r="C50" s="287"/>
      <c r="D50" s="287"/>
      <c r="E50" s="287"/>
      <c r="F50" s="288"/>
    </row>
    <row r="51" spans="2:6" ht="18.75" customHeight="1" x14ac:dyDescent="0.25">
      <c r="B51" s="291"/>
      <c r="C51" s="291"/>
      <c r="D51" s="64" t="s">
        <v>114</v>
      </c>
      <c r="E51" s="64" t="s">
        <v>115</v>
      </c>
      <c r="F51" s="64" t="s">
        <v>50</v>
      </c>
    </row>
    <row r="52" spans="2:6" ht="24.95" customHeight="1" x14ac:dyDescent="0.25">
      <c r="B52" s="65" t="s">
        <v>134</v>
      </c>
      <c r="C52" s="66" t="s">
        <v>135</v>
      </c>
      <c r="D52" s="67">
        <v>6.4999999999999997E-3</v>
      </c>
      <c r="E52" s="67">
        <v>3.5000000000000001E-3</v>
      </c>
      <c r="F52" s="68">
        <f>D52+E52</f>
        <v>0.01</v>
      </c>
    </row>
    <row r="53" spans="2:6" ht="24.95" customHeight="1" x14ac:dyDescent="0.25">
      <c r="B53" s="65" t="s">
        <v>136</v>
      </c>
      <c r="C53" s="69" t="s">
        <v>137</v>
      </c>
      <c r="D53" s="67">
        <v>0.01</v>
      </c>
      <c r="E53" s="67">
        <v>0.01</v>
      </c>
      <c r="F53" s="68">
        <f>D53+E53</f>
        <v>0.02</v>
      </c>
    </row>
    <row r="54" spans="2:6" ht="24.95" customHeight="1" x14ac:dyDescent="0.25">
      <c r="B54" s="65" t="s">
        <v>138</v>
      </c>
      <c r="C54" s="70"/>
      <c r="D54" s="71"/>
      <c r="E54" s="71"/>
      <c r="F54" s="68">
        <f>D54+E54</f>
        <v>0</v>
      </c>
    </row>
    <row r="55" spans="2:6" ht="24.95" customHeight="1" x14ac:dyDescent="0.25">
      <c r="B55" s="274" t="s">
        <v>139</v>
      </c>
      <c r="C55" s="283" t="s">
        <v>140</v>
      </c>
      <c r="D55" s="289">
        <v>3.3500000000000002E-2</v>
      </c>
      <c r="E55" s="289">
        <v>3.3500000000000002E-2</v>
      </c>
      <c r="F55" s="234">
        <f>D55+E55</f>
        <v>6.7000000000000004E-2</v>
      </c>
    </row>
    <row r="56" spans="2:6" ht="13.5" customHeight="1" x14ac:dyDescent="0.25">
      <c r="B56" s="275"/>
      <c r="C56" s="284"/>
      <c r="D56" s="290"/>
      <c r="E56" s="290"/>
      <c r="F56" s="235"/>
    </row>
    <row r="57" spans="2:6" ht="24.95" customHeight="1" x14ac:dyDescent="0.25">
      <c r="B57" s="65" t="s">
        <v>141</v>
      </c>
      <c r="C57" s="70"/>
      <c r="D57" s="71"/>
      <c r="E57" s="71"/>
      <c r="F57" s="70"/>
    </row>
    <row r="58" spans="2:6" x14ac:dyDescent="0.25">
      <c r="B58" s="225" t="s">
        <v>142</v>
      </c>
      <c r="C58" s="283" t="s">
        <v>143</v>
      </c>
      <c r="D58" s="289">
        <v>3.3500000000000002E-2</v>
      </c>
      <c r="E58" s="289">
        <v>3.3500000000000002E-2</v>
      </c>
      <c r="F58" s="234">
        <f>D58+E58</f>
        <v>6.7000000000000004E-2</v>
      </c>
    </row>
    <row r="59" spans="2:6" x14ac:dyDescent="0.25">
      <c r="B59" s="225"/>
      <c r="C59" s="284"/>
      <c r="D59" s="290"/>
      <c r="E59" s="290"/>
      <c r="F59" s="235"/>
    </row>
    <row r="60" spans="2:6" x14ac:dyDescent="0.25">
      <c r="B60" s="225" t="s">
        <v>144</v>
      </c>
      <c r="C60" s="283" t="s">
        <v>145</v>
      </c>
      <c r="D60" s="285">
        <v>2.1000000000000001E-2</v>
      </c>
      <c r="E60" s="285">
        <v>1.4999999999999999E-2</v>
      </c>
      <c r="F60" s="234">
        <f>D60+E60</f>
        <v>3.6000000000000004E-2</v>
      </c>
    </row>
    <row r="61" spans="2:6" x14ac:dyDescent="0.25">
      <c r="B61" s="225"/>
      <c r="C61" s="284"/>
      <c r="D61" s="285"/>
      <c r="E61" s="285"/>
      <c r="F61" s="235"/>
    </row>
    <row r="62" spans="2:6" x14ac:dyDescent="0.25">
      <c r="B62" s="225" t="s">
        <v>146</v>
      </c>
      <c r="C62" s="283" t="s">
        <v>147</v>
      </c>
      <c r="D62" s="285">
        <v>1.4E-2</v>
      </c>
      <c r="E62" s="285">
        <v>2.1999999999999999E-2</v>
      </c>
      <c r="F62" s="234">
        <f>D62+E62</f>
        <v>3.5999999999999997E-2</v>
      </c>
    </row>
    <row r="63" spans="2:6" x14ac:dyDescent="0.25">
      <c r="B63" s="225"/>
      <c r="C63" s="284"/>
      <c r="D63" s="285"/>
      <c r="E63" s="285"/>
      <c r="F63" s="235"/>
    </row>
    <row r="64" spans="2:6" ht="21" customHeight="1" x14ac:dyDescent="0.25">
      <c r="B64" s="286" t="s">
        <v>116</v>
      </c>
      <c r="C64" s="287"/>
      <c r="D64" s="287"/>
      <c r="E64" s="287"/>
      <c r="F64" s="288"/>
    </row>
    <row r="65" spans="2:6" ht="31.5" customHeight="1" x14ac:dyDescent="0.25">
      <c r="B65" s="72" t="s">
        <v>117</v>
      </c>
      <c r="C65" s="282" t="s">
        <v>118</v>
      </c>
      <c r="D65" s="282"/>
      <c r="E65" s="282"/>
      <c r="F65" s="282"/>
    </row>
    <row r="66" spans="2:6" ht="30.75" customHeight="1" x14ac:dyDescent="0.25">
      <c r="B66" s="72" t="s">
        <v>117</v>
      </c>
      <c r="C66" s="282" t="s">
        <v>119</v>
      </c>
      <c r="D66" s="282"/>
      <c r="E66" s="282"/>
      <c r="F66" s="282"/>
    </row>
  </sheetData>
  <mergeCells count="136">
    <mergeCell ref="B7:B8"/>
    <mergeCell ref="C7:C8"/>
    <mergeCell ref="D7:D8"/>
    <mergeCell ref="E7:E8"/>
    <mergeCell ref="B9:B10"/>
    <mergeCell ref="C9:C10"/>
    <mergeCell ref="D9:D10"/>
    <mergeCell ref="E9:E10"/>
    <mergeCell ref="B2:E2"/>
    <mergeCell ref="B3:B4"/>
    <mergeCell ref="C3:C4"/>
    <mergeCell ref="D3:D4"/>
    <mergeCell ref="E3:E4"/>
    <mergeCell ref="B5:B6"/>
    <mergeCell ref="C5:C6"/>
    <mergeCell ref="D5:D6"/>
    <mergeCell ref="E5:E6"/>
    <mergeCell ref="C15:C16"/>
    <mergeCell ref="D15:D16"/>
    <mergeCell ref="E15:E16"/>
    <mergeCell ref="B17:B18"/>
    <mergeCell ref="C17:C18"/>
    <mergeCell ref="D17:D18"/>
    <mergeCell ref="E17:E18"/>
    <mergeCell ref="B11:B12"/>
    <mergeCell ref="C11:C12"/>
    <mergeCell ref="D11:D12"/>
    <mergeCell ref="E11:E12"/>
    <mergeCell ref="B13:B14"/>
    <mergeCell ref="C13:C14"/>
    <mergeCell ref="D13:D14"/>
    <mergeCell ref="E13:E14"/>
    <mergeCell ref="G11:G16"/>
    <mergeCell ref="G3:G8"/>
    <mergeCell ref="B27:B28"/>
    <mergeCell ref="C27:C28"/>
    <mergeCell ref="D27:D28"/>
    <mergeCell ref="E27:E28"/>
    <mergeCell ref="G2:I2"/>
    <mergeCell ref="B23:B24"/>
    <mergeCell ref="C23:C24"/>
    <mergeCell ref="D23:D24"/>
    <mergeCell ref="E23:E24"/>
    <mergeCell ref="B25:B26"/>
    <mergeCell ref="C25:C26"/>
    <mergeCell ref="D25:D26"/>
    <mergeCell ref="E25:E26"/>
    <mergeCell ref="B19:B20"/>
    <mergeCell ref="C19:C20"/>
    <mergeCell ref="D19:D20"/>
    <mergeCell ref="E19:E20"/>
    <mergeCell ref="B21:B22"/>
    <mergeCell ref="C21:C22"/>
    <mergeCell ref="D21:D22"/>
    <mergeCell ref="E21:E22"/>
    <mergeCell ref="B15:B16"/>
    <mergeCell ref="J11:J12"/>
    <mergeCell ref="H13:H14"/>
    <mergeCell ref="I13:I14"/>
    <mergeCell ref="J13:J14"/>
    <mergeCell ref="H15:H16"/>
    <mergeCell ref="I15:I16"/>
    <mergeCell ref="J15:J16"/>
    <mergeCell ref="H3:H5"/>
    <mergeCell ref="I3:I5"/>
    <mergeCell ref="H6:H8"/>
    <mergeCell ref="I6:I8"/>
    <mergeCell ref="H11:H12"/>
    <mergeCell ref="I11:I12"/>
    <mergeCell ref="C32:C33"/>
    <mergeCell ref="D32:D33"/>
    <mergeCell ref="E32:E33"/>
    <mergeCell ref="F32:F33"/>
    <mergeCell ref="B31:F31"/>
    <mergeCell ref="H22:H23"/>
    <mergeCell ref="H24:K25"/>
    <mergeCell ref="K20:K21"/>
    <mergeCell ref="G20:G25"/>
    <mergeCell ref="I22:K23"/>
    <mergeCell ref="H20:H21"/>
    <mergeCell ref="I20:I21"/>
    <mergeCell ref="J20:J21"/>
    <mergeCell ref="C40:C41"/>
    <mergeCell ref="D40:D41"/>
    <mergeCell ref="E40:E41"/>
    <mergeCell ref="F40:F41"/>
    <mergeCell ref="C34:C35"/>
    <mergeCell ref="D34:D35"/>
    <mergeCell ref="E34:E35"/>
    <mergeCell ref="F34:F35"/>
    <mergeCell ref="C36:C37"/>
    <mergeCell ref="D36:D37"/>
    <mergeCell ref="E36:E37"/>
    <mergeCell ref="F36:F37"/>
    <mergeCell ref="B50:F50"/>
    <mergeCell ref="B51:C51"/>
    <mergeCell ref="B55:B56"/>
    <mergeCell ref="C55:C56"/>
    <mergeCell ref="D55:D56"/>
    <mergeCell ref="E55:E56"/>
    <mergeCell ref="F55:F56"/>
    <mergeCell ref="C46:C47"/>
    <mergeCell ref="D46:D47"/>
    <mergeCell ref="E46:E47"/>
    <mergeCell ref="F46:F47"/>
    <mergeCell ref="B32:B47"/>
    <mergeCell ref="C42:C43"/>
    <mergeCell ref="D42:D43"/>
    <mergeCell ref="E42:E43"/>
    <mergeCell ref="F42:F43"/>
    <mergeCell ref="C44:C45"/>
    <mergeCell ref="D44:D45"/>
    <mergeCell ref="E44:E45"/>
    <mergeCell ref="F44:F45"/>
    <mergeCell ref="C38:C39"/>
    <mergeCell ref="D38:D39"/>
    <mergeCell ref="E38:E39"/>
    <mergeCell ref="F38:F39"/>
    <mergeCell ref="C65:F65"/>
    <mergeCell ref="C66:F66"/>
    <mergeCell ref="B62:B63"/>
    <mergeCell ref="C62:C63"/>
    <mergeCell ref="D62:D63"/>
    <mergeCell ref="E62:E63"/>
    <mergeCell ref="F62:F63"/>
    <mergeCell ref="B64:F64"/>
    <mergeCell ref="B58:B59"/>
    <mergeCell ref="C58:C59"/>
    <mergeCell ref="D58:D59"/>
    <mergeCell ref="E58:E59"/>
    <mergeCell ref="F58:F59"/>
    <mergeCell ref="B60:B61"/>
    <mergeCell ref="C60:C61"/>
    <mergeCell ref="D60:D61"/>
    <mergeCell ref="E60:E61"/>
    <mergeCell ref="F60:F6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66"/>
  <sheetViews>
    <sheetView workbookViewId="0">
      <selection activeCell="C62" sqref="C62:C63"/>
    </sheetView>
  </sheetViews>
  <sheetFormatPr baseColWidth="10" defaultColWidth="11.42578125" defaultRowHeight="15" x14ac:dyDescent="0.25"/>
  <cols>
    <col min="1" max="1" width="7.7109375" style="84" customWidth="1"/>
    <col min="2" max="2" width="15.42578125" style="84" customWidth="1"/>
    <col min="3" max="3" width="56.7109375" style="84" customWidth="1"/>
    <col min="4" max="5" width="17.140625" style="84" customWidth="1"/>
    <col min="6" max="7" width="11.42578125" style="84"/>
    <col min="8" max="8" width="45.42578125" style="84" customWidth="1"/>
    <col min="9" max="9" width="14" style="84" customWidth="1"/>
    <col min="10" max="10" width="11.42578125" style="84"/>
    <col min="11" max="11" width="22.42578125" style="84" customWidth="1"/>
    <col min="12" max="16384" width="11.42578125" style="84"/>
  </cols>
  <sheetData>
    <row r="2" spans="2:11" ht="28.5" customHeight="1" x14ac:dyDescent="0.25">
      <c r="B2" s="281" t="s">
        <v>148</v>
      </c>
      <c r="C2" s="281"/>
      <c r="D2" s="281"/>
      <c r="E2" s="281"/>
      <c r="G2" s="311">
        <v>2017</v>
      </c>
      <c r="H2" s="281" t="s">
        <v>106</v>
      </c>
      <c r="I2" s="281" t="s">
        <v>107</v>
      </c>
      <c r="J2" s="281" t="s">
        <v>108</v>
      </c>
      <c r="K2" s="281" t="s">
        <v>109</v>
      </c>
    </row>
    <row r="3" spans="2:11" x14ac:dyDescent="0.25">
      <c r="B3" s="278" t="s">
        <v>60</v>
      </c>
      <c r="C3" s="278" t="s">
        <v>61</v>
      </c>
      <c r="D3" s="278" t="s">
        <v>62</v>
      </c>
      <c r="E3" s="278" t="s">
        <v>63</v>
      </c>
      <c r="G3" s="312"/>
      <c r="H3" s="281"/>
      <c r="I3" s="281"/>
      <c r="J3" s="281"/>
      <c r="K3" s="281"/>
    </row>
    <row r="4" spans="2:11" x14ac:dyDescent="0.25">
      <c r="B4" s="278"/>
      <c r="C4" s="278"/>
      <c r="D4" s="278"/>
      <c r="E4" s="278"/>
      <c r="G4" s="312"/>
      <c r="H4" s="292" t="s">
        <v>110</v>
      </c>
      <c r="I4" s="293" t="s">
        <v>111</v>
      </c>
      <c r="J4" s="294"/>
      <c r="K4" s="295"/>
    </row>
    <row r="5" spans="2:11" x14ac:dyDescent="0.25">
      <c r="B5" s="274" t="s">
        <v>64</v>
      </c>
      <c r="C5" s="232" t="s">
        <v>65</v>
      </c>
      <c r="D5" s="325" t="s">
        <v>149</v>
      </c>
      <c r="E5" s="276">
        <v>3751.2</v>
      </c>
      <c r="G5" s="312"/>
      <c r="H5" s="292"/>
      <c r="I5" s="296"/>
      <c r="J5" s="297"/>
      <c r="K5" s="298"/>
    </row>
    <row r="6" spans="2:11" ht="15" customHeight="1" x14ac:dyDescent="0.25">
      <c r="B6" s="275"/>
      <c r="C6" s="233"/>
      <c r="D6" s="326"/>
      <c r="E6" s="277"/>
      <c r="G6" s="312"/>
      <c r="H6" s="313" t="s">
        <v>112</v>
      </c>
      <c r="I6" s="313"/>
      <c r="J6" s="313"/>
      <c r="K6" s="313"/>
    </row>
    <row r="7" spans="2:11" x14ac:dyDescent="0.25">
      <c r="B7" s="274" t="s">
        <v>66</v>
      </c>
      <c r="C7" s="232" t="s">
        <v>67</v>
      </c>
      <c r="D7" s="276">
        <v>994.2</v>
      </c>
      <c r="E7" s="276">
        <v>3751.2</v>
      </c>
      <c r="G7" s="312"/>
      <c r="H7" s="314"/>
      <c r="I7" s="314"/>
      <c r="J7" s="314"/>
      <c r="K7" s="314"/>
    </row>
    <row r="8" spans="2:11" x14ac:dyDescent="0.25">
      <c r="B8" s="275"/>
      <c r="C8" s="233"/>
      <c r="D8" s="277"/>
      <c r="E8" s="277"/>
      <c r="G8" s="312"/>
      <c r="H8" s="314"/>
      <c r="I8" s="314"/>
      <c r="J8" s="314"/>
      <c r="K8" s="314"/>
    </row>
    <row r="9" spans="2:11" x14ac:dyDescent="0.25">
      <c r="B9" s="274" t="s">
        <v>68</v>
      </c>
      <c r="C9" s="232" t="s">
        <v>69</v>
      </c>
      <c r="D9" s="276">
        <v>864.9</v>
      </c>
      <c r="E9" s="276">
        <v>3751.2</v>
      </c>
    </row>
    <row r="10" spans="2:11" ht="15" customHeight="1" x14ac:dyDescent="0.25">
      <c r="B10" s="275"/>
      <c r="C10" s="233"/>
      <c r="D10" s="277"/>
      <c r="E10" s="277"/>
      <c r="G10" s="216">
        <v>2017</v>
      </c>
      <c r="H10" s="236" t="s">
        <v>97</v>
      </c>
      <c r="I10" s="315" t="s">
        <v>98</v>
      </c>
      <c r="J10" s="316"/>
      <c r="K10" s="236" t="s">
        <v>99</v>
      </c>
    </row>
    <row r="11" spans="2:11" ht="15" customHeight="1" x14ac:dyDescent="0.25">
      <c r="B11" s="274" t="s">
        <v>70</v>
      </c>
      <c r="C11" s="232" t="s">
        <v>71</v>
      </c>
      <c r="D11" s="276">
        <v>864.9</v>
      </c>
      <c r="E11" s="276">
        <v>3751.2</v>
      </c>
      <c r="G11" s="216"/>
      <c r="H11" s="237"/>
      <c r="I11" s="317"/>
      <c r="J11" s="318"/>
      <c r="K11" s="237"/>
    </row>
    <row r="12" spans="2:11" ht="15" customHeight="1" x14ac:dyDescent="0.25">
      <c r="B12" s="275"/>
      <c r="C12" s="233"/>
      <c r="D12" s="277"/>
      <c r="E12" s="277"/>
      <c r="G12" s="216"/>
      <c r="H12" s="323" t="s">
        <v>100</v>
      </c>
      <c r="I12" s="319" t="s">
        <v>101</v>
      </c>
      <c r="J12" s="320"/>
      <c r="K12" s="242" t="s">
        <v>102</v>
      </c>
    </row>
    <row r="13" spans="2:11" ht="15" customHeight="1" x14ac:dyDescent="0.25">
      <c r="B13" s="274" t="s">
        <v>72</v>
      </c>
      <c r="C13" s="232" t="s">
        <v>73</v>
      </c>
      <c r="D13" s="276">
        <v>864.9</v>
      </c>
      <c r="E13" s="276">
        <v>3751.2</v>
      </c>
      <c r="G13" s="216"/>
      <c r="H13" s="324"/>
      <c r="I13" s="321"/>
      <c r="J13" s="322"/>
      <c r="K13" s="243"/>
    </row>
    <row r="14" spans="2:11" ht="15" customHeight="1" x14ac:dyDescent="0.25">
      <c r="B14" s="275"/>
      <c r="C14" s="233"/>
      <c r="D14" s="277"/>
      <c r="E14" s="277"/>
      <c r="G14" s="216"/>
      <c r="H14" s="323" t="s">
        <v>103</v>
      </c>
      <c r="I14" s="319" t="s">
        <v>104</v>
      </c>
      <c r="J14" s="320"/>
      <c r="K14" s="242" t="s">
        <v>105</v>
      </c>
    </row>
    <row r="15" spans="2:11" ht="15" customHeight="1" x14ac:dyDescent="0.25">
      <c r="B15" s="274" t="s">
        <v>74</v>
      </c>
      <c r="C15" s="232" t="s">
        <v>75</v>
      </c>
      <c r="D15" s="276">
        <v>864.9</v>
      </c>
      <c r="E15" s="276">
        <v>3751.2</v>
      </c>
      <c r="G15" s="216"/>
      <c r="H15" s="324"/>
      <c r="I15" s="321"/>
      <c r="J15" s="322"/>
      <c r="K15" s="243"/>
    </row>
    <row r="16" spans="2:11" x14ac:dyDescent="0.25">
      <c r="B16" s="275"/>
      <c r="C16" s="233"/>
      <c r="D16" s="277"/>
      <c r="E16" s="277"/>
      <c r="G16" s="61"/>
      <c r="H16" s="61"/>
      <c r="I16" s="61"/>
      <c r="J16" s="61"/>
      <c r="K16" s="61"/>
    </row>
    <row r="17" spans="2:11" x14ac:dyDescent="0.25">
      <c r="B17" s="274" t="s">
        <v>76</v>
      </c>
      <c r="C17" s="232" t="s">
        <v>77</v>
      </c>
      <c r="D17" s="276">
        <v>864.9</v>
      </c>
      <c r="E17" s="276">
        <v>3751.2</v>
      </c>
      <c r="G17" s="231">
        <v>2017</v>
      </c>
      <c r="H17" s="244" t="s">
        <v>106</v>
      </c>
      <c r="I17" s="244" t="s">
        <v>107</v>
      </c>
      <c r="J17" s="244" t="s">
        <v>108</v>
      </c>
      <c r="K17" s="244" t="s">
        <v>109</v>
      </c>
    </row>
    <row r="18" spans="2:11" x14ac:dyDescent="0.25">
      <c r="B18" s="275"/>
      <c r="C18" s="233"/>
      <c r="D18" s="277"/>
      <c r="E18" s="277"/>
      <c r="G18" s="231"/>
      <c r="H18" s="244"/>
      <c r="I18" s="244"/>
      <c r="J18" s="244"/>
      <c r="K18" s="244"/>
    </row>
    <row r="19" spans="2:11" x14ac:dyDescent="0.25">
      <c r="B19" s="278" t="s">
        <v>78</v>
      </c>
      <c r="C19" s="278" t="s">
        <v>61</v>
      </c>
      <c r="D19" s="279" t="s">
        <v>79</v>
      </c>
      <c r="E19" s="279" t="s">
        <v>79</v>
      </c>
      <c r="G19" s="231"/>
      <c r="H19" s="245" t="s">
        <v>110</v>
      </c>
      <c r="I19" s="246" t="s">
        <v>111</v>
      </c>
      <c r="J19" s="246"/>
      <c r="K19" s="246"/>
    </row>
    <row r="20" spans="2:11" x14ac:dyDescent="0.25">
      <c r="B20" s="278"/>
      <c r="C20" s="278"/>
      <c r="D20" s="279"/>
      <c r="E20" s="279"/>
      <c r="G20" s="231"/>
      <c r="H20" s="245"/>
      <c r="I20" s="246"/>
      <c r="J20" s="246"/>
      <c r="K20" s="246"/>
    </row>
    <row r="21" spans="2:11" ht="15" customHeight="1" x14ac:dyDescent="0.25">
      <c r="B21" s="274" t="s">
        <v>80</v>
      </c>
      <c r="C21" s="232" t="s">
        <v>81</v>
      </c>
      <c r="D21" s="276">
        <v>28.62</v>
      </c>
      <c r="E21" s="276">
        <v>125.04</v>
      </c>
      <c r="G21" s="231"/>
      <c r="H21" s="247" t="s">
        <v>112</v>
      </c>
      <c r="I21" s="247"/>
      <c r="J21" s="247"/>
      <c r="K21" s="247"/>
    </row>
    <row r="22" spans="2:11" ht="15" customHeight="1" x14ac:dyDescent="0.25">
      <c r="B22" s="275"/>
      <c r="C22" s="233"/>
      <c r="D22" s="277"/>
      <c r="E22" s="277"/>
      <c r="G22" s="231"/>
      <c r="H22" s="247"/>
      <c r="I22" s="247"/>
      <c r="J22" s="247"/>
      <c r="K22" s="247"/>
    </row>
    <row r="23" spans="2:11" x14ac:dyDescent="0.25">
      <c r="B23" s="274" t="s">
        <v>82</v>
      </c>
      <c r="C23" s="232" t="s">
        <v>83</v>
      </c>
      <c r="D23" s="276">
        <v>28.62</v>
      </c>
      <c r="E23" s="276">
        <v>125.04</v>
      </c>
      <c r="G23" s="231"/>
      <c r="H23" s="247"/>
      <c r="I23" s="247"/>
      <c r="J23" s="247"/>
      <c r="K23" s="247"/>
    </row>
    <row r="24" spans="2:11" x14ac:dyDescent="0.25">
      <c r="B24" s="275"/>
      <c r="C24" s="233"/>
      <c r="D24" s="277"/>
      <c r="E24" s="277"/>
    </row>
    <row r="25" spans="2:11" x14ac:dyDescent="0.25">
      <c r="B25" s="274" t="s">
        <v>84</v>
      </c>
      <c r="C25" s="232" t="s">
        <v>85</v>
      </c>
      <c r="D25" s="276">
        <v>28.62</v>
      </c>
      <c r="E25" s="276">
        <v>125.04</v>
      </c>
    </row>
    <row r="26" spans="2:11" x14ac:dyDescent="0.25">
      <c r="B26" s="275"/>
      <c r="C26" s="233"/>
      <c r="D26" s="277"/>
      <c r="E26" s="277"/>
    </row>
    <row r="27" spans="2:11" x14ac:dyDescent="0.25">
      <c r="B27" s="274" t="s">
        <v>86</v>
      </c>
      <c r="C27" s="232" t="s">
        <v>87</v>
      </c>
      <c r="D27" s="276">
        <v>28.62</v>
      </c>
      <c r="E27" s="276">
        <v>125.04</v>
      </c>
    </row>
    <row r="28" spans="2:11" x14ac:dyDescent="0.25">
      <c r="B28" s="275"/>
      <c r="C28" s="233"/>
      <c r="D28" s="277"/>
      <c r="E28" s="277"/>
    </row>
    <row r="31" spans="2:11" ht="30.75" customHeight="1" x14ac:dyDescent="0.25">
      <c r="B31" s="281" t="s">
        <v>150</v>
      </c>
      <c r="C31" s="281"/>
      <c r="D31" s="281"/>
      <c r="E31" s="281"/>
      <c r="F31" s="281"/>
    </row>
    <row r="32" spans="2:11" x14ac:dyDescent="0.25">
      <c r="B32" s="310"/>
      <c r="C32" s="271" t="s">
        <v>89</v>
      </c>
      <c r="D32" s="271" t="s">
        <v>90</v>
      </c>
      <c r="E32" s="272" t="s">
        <v>91</v>
      </c>
      <c r="F32" s="271" t="s">
        <v>59</v>
      </c>
    </row>
    <row r="33" spans="2:6" x14ac:dyDescent="0.25">
      <c r="B33" s="310"/>
      <c r="C33" s="271"/>
      <c r="D33" s="271"/>
      <c r="E33" s="273"/>
      <c r="F33" s="271"/>
    </row>
    <row r="34" spans="2:6" x14ac:dyDescent="0.25">
      <c r="B34" s="308"/>
      <c r="C34" s="232" t="s">
        <v>29</v>
      </c>
      <c r="D34" s="234">
        <v>0.23599999999999999</v>
      </c>
      <c r="E34" s="234">
        <v>4.7E-2</v>
      </c>
      <c r="F34" s="234">
        <f>D34+E34</f>
        <v>0.28299999999999997</v>
      </c>
    </row>
    <row r="35" spans="2:6" x14ac:dyDescent="0.25">
      <c r="B35" s="309"/>
      <c r="C35" s="233"/>
      <c r="D35" s="235"/>
      <c r="E35" s="235"/>
      <c r="F35" s="235"/>
    </row>
    <row r="36" spans="2:6" x14ac:dyDescent="0.25">
      <c r="B36" s="308"/>
      <c r="C36" s="232" t="s">
        <v>92</v>
      </c>
      <c r="D36" s="234">
        <v>0.12</v>
      </c>
      <c r="E36" s="234">
        <v>0.02</v>
      </c>
      <c r="F36" s="234">
        <f>D36+E36</f>
        <v>0.13999999999999999</v>
      </c>
    </row>
    <row r="37" spans="2:6" x14ac:dyDescent="0.25">
      <c r="B37" s="309"/>
      <c r="C37" s="233"/>
      <c r="D37" s="235"/>
      <c r="E37" s="235"/>
      <c r="F37" s="235"/>
    </row>
    <row r="38" spans="2:6" x14ac:dyDescent="0.25">
      <c r="B38" s="308"/>
      <c r="C38" s="232" t="s">
        <v>93</v>
      </c>
      <c r="D38" s="234">
        <v>0.23599999999999999</v>
      </c>
      <c r="E38" s="234">
        <v>4.7E-2</v>
      </c>
      <c r="F38" s="234">
        <f>D38+E38</f>
        <v>0.28299999999999997</v>
      </c>
    </row>
    <row r="39" spans="2:6" x14ac:dyDescent="0.25">
      <c r="B39" s="309"/>
      <c r="C39" s="233"/>
      <c r="D39" s="235"/>
      <c r="E39" s="235"/>
      <c r="F39" s="235"/>
    </row>
    <row r="40" spans="2:6" x14ac:dyDescent="0.25">
      <c r="B40" s="308"/>
      <c r="C40" s="232" t="s">
        <v>94</v>
      </c>
      <c r="D40" s="234">
        <v>5.5E-2</v>
      </c>
      <c r="E40" s="234">
        <v>1.55E-2</v>
      </c>
      <c r="F40" s="234">
        <f>D40+E40</f>
        <v>7.0500000000000007E-2</v>
      </c>
    </row>
    <row r="41" spans="2:6" x14ac:dyDescent="0.25">
      <c r="B41" s="309"/>
      <c r="C41" s="233"/>
      <c r="D41" s="235"/>
      <c r="E41" s="235"/>
      <c r="F41" s="235"/>
    </row>
    <row r="42" spans="2:6" x14ac:dyDescent="0.25">
      <c r="B42" s="308"/>
      <c r="C42" s="232" t="s">
        <v>95</v>
      </c>
      <c r="D42" s="234">
        <v>6.7000000000000004E-2</v>
      </c>
      <c r="E42" s="234">
        <v>1.6E-2</v>
      </c>
      <c r="F42" s="234">
        <f>D42+E42</f>
        <v>8.3000000000000004E-2</v>
      </c>
    </row>
    <row r="43" spans="2:6" x14ac:dyDescent="0.25">
      <c r="B43" s="309"/>
      <c r="C43" s="233"/>
      <c r="D43" s="235"/>
      <c r="E43" s="235"/>
      <c r="F43" s="235"/>
    </row>
    <row r="44" spans="2:6" x14ac:dyDescent="0.25">
      <c r="B44" s="308"/>
      <c r="C44" s="232" t="s">
        <v>55</v>
      </c>
      <c r="D44" s="234">
        <v>2E-3</v>
      </c>
      <c r="E44" s="234"/>
      <c r="F44" s="234">
        <f>D44+E44</f>
        <v>2E-3</v>
      </c>
    </row>
    <row r="45" spans="2:6" x14ac:dyDescent="0.25">
      <c r="B45" s="309"/>
      <c r="C45" s="233"/>
      <c r="D45" s="235"/>
      <c r="E45" s="235"/>
      <c r="F45" s="235"/>
    </row>
    <row r="46" spans="2:6" x14ac:dyDescent="0.25">
      <c r="B46" s="308"/>
      <c r="C46" s="232" t="s">
        <v>96</v>
      </c>
      <c r="D46" s="234">
        <v>6.0000000000000001E-3</v>
      </c>
      <c r="E46" s="234">
        <v>1E-3</v>
      </c>
      <c r="F46" s="234">
        <f>D46+E46</f>
        <v>7.0000000000000001E-3</v>
      </c>
    </row>
    <row r="47" spans="2:6" x14ac:dyDescent="0.25">
      <c r="B47" s="309"/>
      <c r="C47" s="233"/>
      <c r="D47" s="235"/>
      <c r="E47" s="235"/>
      <c r="F47" s="235"/>
    </row>
    <row r="50" spans="2:6" ht="32.25" customHeight="1" x14ac:dyDescent="0.25">
      <c r="B50" s="286" t="s">
        <v>151</v>
      </c>
      <c r="C50" s="287"/>
      <c r="D50" s="287"/>
      <c r="E50" s="287"/>
      <c r="F50" s="288"/>
    </row>
    <row r="51" spans="2:6" ht="24" customHeight="1" x14ac:dyDescent="0.25">
      <c r="B51" s="291"/>
      <c r="C51" s="291"/>
      <c r="D51" s="64" t="s">
        <v>114</v>
      </c>
      <c r="E51" s="64" t="s">
        <v>115</v>
      </c>
      <c r="F51" s="64" t="s">
        <v>50</v>
      </c>
    </row>
    <row r="52" spans="2:6" ht="24.75" customHeight="1" x14ac:dyDescent="0.25">
      <c r="B52" s="65" t="s">
        <v>134</v>
      </c>
      <c r="C52" s="85" t="s">
        <v>135</v>
      </c>
      <c r="D52" s="67">
        <v>6.4999999999999997E-3</v>
      </c>
      <c r="E52" s="67">
        <v>3.5000000000000001E-3</v>
      </c>
      <c r="F52" s="68">
        <f>D52+E52</f>
        <v>0.01</v>
      </c>
    </row>
    <row r="53" spans="2:6" ht="24.75" customHeight="1" x14ac:dyDescent="0.25">
      <c r="B53" s="65" t="s">
        <v>136</v>
      </c>
      <c r="C53" s="86" t="s">
        <v>137</v>
      </c>
      <c r="D53" s="67">
        <v>0.01</v>
      </c>
      <c r="E53" s="67">
        <v>0.01</v>
      </c>
      <c r="F53" s="68">
        <f>D53+E53</f>
        <v>0.02</v>
      </c>
    </row>
    <row r="54" spans="2:6" ht="27" customHeight="1" x14ac:dyDescent="0.25">
      <c r="B54" s="65" t="s">
        <v>138</v>
      </c>
      <c r="C54" s="70"/>
      <c r="D54" s="71"/>
      <c r="E54" s="71"/>
      <c r="F54" s="68">
        <f>D54+E54</f>
        <v>0</v>
      </c>
    </row>
    <row r="55" spans="2:6" x14ac:dyDescent="0.25">
      <c r="B55" s="274" t="s">
        <v>139</v>
      </c>
      <c r="C55" s="232" t="s">
        <v>140</v>
      </c>
      <c r="D55" s="289">
        <v>3.3500000000000002E-2</v>
      </c>
      <c r="E55" s="289">
        <v>3.3500000000000002E-2</v>
      </c>
      <c r="F55" s="234">
        <f>D55+E55</f>
        <v>6.7000000000000004E-2</v>
      </c>
    </row>
    <row r="56" spans="2:6" x14ac:dyDescent="0.25">
      <c r="B56" s="275"/>
      <c r="C56" s="233"/>
      <c r="D56" s="290"/>
      <c r="E56" s="290"/>
      <c r="F56" s="235"/>
    </row>
    <row r="57" spans="2:6" ht="25.5" customHeight="1" x14ac:dyDescent="0.25">
      <c r="B57" s="65" t="s">
        <v>141</v>
      </c>
      <c r="C57" s="70"/>
      <c r="D57" s="71"/>
      <c r="E57" s="71"/>
      <c r="F57" s="70"/>
    </row>
    <row r="58" spans="2:6" x14ac:dyDescent="0.25">
      <c r="B58" s="225" t="s">
        <v>142</v>
      </c>
      <c r="C58" s="232" t="s">
        <v>143</v>
      </c>
      <c r="D58" s="289">
        <v>3.3500000000000002E-2</v>
      </c>
      <c r="E58" s="289">
        <v>3.3500000000000002E-2</v>
      </c>
      <c r="F58" s="234">
        <f>D58+E58</f>
        <v>6.7000000000000004E-2</v>
      </c>
    </row>
    <row r="59" spans="2:6" x14ac:dyDescent="0.25">
      <c r="B59" s="225"/>
      <c r="C59" s="233"/>
      <c r="D59" s="290"/>
      <c r="E59" s="290"/>
      <c r="F59" s="235"/>
    </row>
    <row r="60" spans="2:6" x14ac:dyDescent="0.25">
      <c r="B60" s="225" t="s">
        <v>144</v>
      </c>
      <c r="C60" s="232" t="s">
        <v>145</v>
      </c>
      <c r="D60" s="285">
        <v>2.1000000000000001E-2</v>
      </c>
      <c r="E60" s="285">
        <v>1.4999999999999999E-2</v>
      </c>
      <c r="F60" s="234">
        <f>D60+E60</f>
        <v>3.6000000000000004E-2</v>
      </c>
    </row>
    <row r="61" spans="2:6" x14ac:dyDescent="0.25">
      <c r="B61" s="225"/>
      <c r="C61" s="233"/>
      <c r="D61" s="285"/>
      <c r="E61" s="285"/>
      <c r="F61" s="235"/>
    </row>
    <row r="62" spans="2:6" x14ac:dyDescent="0.25">
      <c r="B62" s="225" t="s">
        <v>146</v>
      </c>
      <c r="C62" s="232" t="s">
        <v>147</v>
      </c>
      <c r="D62" s="285">
        <v>1.4E-2</v>
      </c>
      <c r="E62" s="285">
        <v>2.1999999999999999E-2</v>
      </c>
      <c r="F62" s="234">
        <f>D62+E62</f>
        <v>3.5999999999999997E-2</v>
      </c>
    </row>
    <row r="63" spans="2:6" x14ac:dyDescent="0.25">
      <c r="B63" s="225"/>
      <c r="C63" s="233"/>
      <c r="D63" s="285"/>
      <c r="E63" s="285"/>
      <c r="F63" s="235"/>
    </row>
    <row r="64" spans="2:6" ht="30.75" customHeight="1" x14ac:dyDescent="0.25">
      <c r="B64" s="74" t="s">
        <v>152</v>
      </c>
      <c r="C64" s="305" t="s">
        <v>153</v>
      </c>
      <c r="D64" s="306"/>
      <c r="E64" s="306"/>
      <c r="F64" s="307"/>
    </row>
    <row r="65" spans="2:6" ht="30" customHeight="1" x14ac:dyDescent="0.25">
      <c r="B65" s="72" t="s">
        <v>117</v>
      </c>
      <c r="C65" s="282" t="s">
        <v>118</v>
      </c>
      <c r="D65" s="282"/>
      <c r="E65" s="282"/>
      <c r="F65" s="282"/>
    </row>
    <row r="66" spans="2:6" ht="30" customHeight="1" x14ac:dyDescent="0.25">
      <c r="B66" s="72" t="s">
        <v>117</v>
      </c>
      <c r="C66" s="282" t="s">
        <v>119</v>
      </c>
      <c r="D66" s="282"/>
      <c r="E66" s="282"/>
      <c r="F66" s="282"/>
    </row>
  </sheetData>
  <mergeCells count="145">
    <mergeCell ref="B2:E2"/>
    <mergeCell ref="B3:B4"/>
    <mergeCell ref="C3:C4"/>
    <mergeCell ref="D3:D4"/>
    <mergeCell ref="E3:E4"/>
    <mergeCell ref="B5:B6"/>
    <mergeCell ref="C5:C6"/>
    <mergeCell ref="D5:D6"/>
    <mergeCell ref="E5:E6"/>
    <mergeCell ref="B11:B12"/>
    <mergeCell ref="C11:C12"/>
    <mergeCell ref="D11:D12"/>
    <mergeCell ref="E11:E12"/>
    <mergeCell ref="B13:B14"/>
    <mergeCell ref="C13:C14"/>
    <mergeCell ref="D13:D14"/>
    <mergeCell ref="E13:E14"/>
    <mergeCell ref="B7:B8"/>
    <mergeCell ref="C7:C8"/>
    <mergeCell ref="D7:D8"/>
    <mergeCell ref="E7:E8"/>
    <mergeCell ref="B9:B10"/>
    <mergeCell ref="C9:C10"/>
    <mergeCell ref="D9:D10"/>
    <mergeCell ref="E9:E10"/>
    <mergeCell ref="B21:B22"/>
    <mergeCell ref="C21:C22"/>
    <mergeCell ref="D21:D22"/>
    <mergeCell ref="E21:E22"/>
    <mergeCell ref="B15:B16"/>
    <mergeCell ref="C15:C16"/>
    <mergeCell ref="D15:D16"/>
    <mergeCell ref="E15:E16"/>
    <mergeCell ref="B17:B18"/>
    <mergeCell ref="C17:C18"/>
    <mergeCell ref="D17:D18"/>
    <mergeCell ref="E17:E18"/>
    <mergeCell ref="J2:J3"/>
    <mergeCell ref="K2:K3"/>
    <mergeCell ref="H4:H5"/>
    <mergeCell ref="I4:K5"/>
    <mergeCell ref="B27:B28"/>
    <mergeCell ref="C27:C28"/>
    <mergeCell ref="D27:D28"/>
    <mergeCell ref="E27:E28"/>
    <mergeCell ref="H2:H3"/>
    <mergeCell ref="H10:H11"/>
    <mergeCell ref="H17:H18"/>
    <mergeCell ref="G10:G15"/>
    <mergeCell ref="B23:B24"/>
    <mergeCell ref="C23:C24"/>
    <mergeCell ref="D23:D24"/>
    <mergeCell ref="E23:E24"/>
    <mergeCell ref="B25:B26"/>
    <mergeCell ref="C25:C26"/>
    <mergeCell ref="D25:D26"/>
    <mergeCell ref="E25:E26"/>
    <mergeCell ref="B19:B20"/>
    <mergeCell ref="C19:C20"/>
    <mergeCell ref="D19:D20"/>
    <mergeCell ref="E19:E20"/>
    <mergeCell ref="B31:F31"/>
    <mergeCell ref="B32:B33"/>
    <mergeCell ref="C32:C33"/>
    <mergeCell ref="D32:D33"/>
    <mergeCell ref="E32:E33"/>
    <mergeCell ref="F32:F33"/>
    <mergeCell ref="G17:G23"/>
    <mergeCell ref="G2:G8"/>
    <mergeCell ref="H6:K8"/>
    <mergeCell ref="K10:K11"/>
    <mergeCell ref="K12:K13"/>
    <mergeCell ref="K14:K15"/>
    <mergeCell ref="I10:J11"/>
    <mergeCell ref="I12:J13"/>
    <mergeCell ref="I14:J15"/>
    <mergeCell ref="I17:I18"/>
    <mergeCell ref="J17:J18"/>
    <mergeCell ref="K17:K18"/>
    <mergeCell ref="H19:H20"/>
    <mergeCell ref="I19:K20"/>
    <mergeCell ref="H21:K23"/>
    <mergeCell ref="H12:H13"/>
    <mergeCell ref="H14:H15"/>
    <mergeCell ref="I2:I3"/>
    <mergeCell ref="B34:B35"/>
    <mergeCell ref="C34:C35"/>
    <mergeCell ref="D34:D35"/>
    <mergeCell ref="E34:E35"/>
    <mergeCell ref="F34:F35"/>
    <mergeCell ref="B36:B37"/>
    <mergeCell ref="C36:C37"/>
    <mergeCell ref="D36:D37"/>
    <mergeCell ref="E36:E37"/>
    <mergeCell ref="F36:F37"/>
    <mergeCell ref="B38:B39"/>
    <mergeCell ref="C38:C39"/>
    <mergeCell ref="D38:D39"/>
    <mergeCell ref="E38:E39"/>
    <mergeCell ref="F38:F39"/>
    <mergeCell ref="B40:B41"/>
    <mergeCell ref="C40:C41"/>
    <mergeCell ref="D40:D41"/>
    <mergeCell ref="E40:E41"/>
    <mergeCell ref="F40:F41"/>
    <mergeCell ref="B42:B43"/>
    <mergeCell ref="C42:C43"/>
    <mergeCell ref="D42:D43"/>
    <mergeCell ref="E42:E43"/>
    <mergeCell ref="F42:F43"/>
    <mergeCell ref="B44:B45"/>
    <mergeCell ref="C44:C45"/>
    <mergeCell ref="D44:D45"/>
    <mergeCell ref="E44:E45"/>
    <mergeCell ref="F44:F45"/>
    <mergeCell ref="B51:C51"/>
    <mergeCell ref="B55:B56"/>
    <mergeCell ref="C55:C56"/>
    <mergeCell ref="D55:D56"/>
    <mergeCell ref="E55:E56"/>
    <mergeCell ref="F55:F56"/>
    <mergeCell ref="B46:B47"/>
    <mergeCell ref="C46:C47"/>
    <mergeCell ref="D46:D47"/>
    <mergeCell ref="E46:E47"/>
    <mergeCell ref="F46:F47"/>
    <mergeCell ref="B50:F50"/>
    <mergeCell ref="C65:F65"/>
    <mergeCell ref="C66:F66"/>
    <mergeCell ref="B62:B63"/>
    <mergeCell ref="C62:C63"/>
    <mergeCell ref="D62:D63"/>
    <mergeCell ref="E62:E63"/>
    <mergeCell ref="F62:F63"/>
    <mergeCell ref="C64:F64"/>
    <mergeCell ref="B58:B59"/>
    <mergeCell ref="C58:C59"/>
    <mergeCell ref="D58:D59"/>
    <mergeCell ref="E58:E59"/>
    <mergeCell ref="F58:F59"/>
    <mergeCell ref="B60:B61"/>
    <mergeCell ref="C60:C61"/>
    <mergeCell ref="D60:D61"/>
    <mergeCell ref="E60:E61"/>
    <mergeCell ref="F60:F6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76"/>
  <sheetViews>
    <sheetView zoomScale="120" zoomScaleNormal="120" workbookViewId="0">
      <selection activeCell="E42" sqref="E42:E43"/>
    </sheetView>
  </sheetViews>
  <sheetFormatPr baseColWidth="10" defaultColWidth="11.42578125" defaultRowHeight="15" x14ac:dyDescent="0.25"/>
  <cols>
    <col min="1" max="1" width="11.42578125" style="61"/>
    <col min="2" max="2" width="13.85546875" style="61" customWidth="1"/>
    <col min="3" max="3" width="50.42578125" style="61" customWidth="1"/>
    <col min="4" max="4" width="17.85546875" style="61" customWidth="1"/>
    <col min="5" max="5" width="20" style="61" customWidth="1"/>
    <col min="6" max="6" width="15.140625" style="61" customWidth="1"/>
    <col min="7" max="7" width="11.42578125" style="61"/>
    <col min="8" max="8" width="29.85546875" style="61" customWidth="1"/>
    <col min="9" max="9" width="17.7109375" style="61" customWidth="1"/>
    <col min="10" max="10" width="17.140625" style="61" customWidth="1"/>
    <col min="11" max="11" width="17.7109375" style="61" customWidth="1"/>
    <col min="12" max="12" width="19.28515625" style="61" bestFit="1" customWidth="1"/>
    <col min="13" max="13" width="39.42578125" style="61" customWidth="1"/>
    <col min="14" max="14" width="15.42578125" style="61" customWidth="1"/>
    <col min="15" max="15" width="15.7109375" style="61" customWidth="1"/>
    <col min="16" max="16384" width="11.42578125" style="61"/>
  </cols>
  <sheetData>
    <row r="2" spans="2:12" ht="31.5" customHeight="1" x14ac:dyDescent="0.25">
      <c r="B2" s="281" t="s">
        <v>154</v>
      </c>
      <c r="C2" s="281"/>
      <c r="D2" s="281"/>
      <c r="E2" s="281"/>
      <c r="G2" s="286" t="s">
        <v>155</v>
      </c>
      <c r="H2" s="287"/>
      <c r="I2" s="287"/>
      <c r="J2" s="287"/>
      <c r="K2" s="287"/>
      <c r="L2" s="288"/>
    </row>
    <row r="3" spans="2:12" ht="15" customHeight="1" x14ac:dyDescent="0.25">
      <c r="B3" s="271" t="s">
        <v>60</v>
      </c>
      <c r="C3" s="271" t="s">
        <v>61</v>
      </c>
      <c r="D3" s="271" t="s">
        <v>62</v>
      </c>
      <c r="E3" s="271" t="s">
        <v>63</v>
      </c>
      <c r="G3" s="344" t="s">
        <v>125</v>
      </c>
      <c r="H3" s="345"/>
      <c r="I3" s="345"/>
      <c r="J3" s="346"/>
      <c r="K3" s="340" t="s">
        <v>156</v>
      </c>
      <c r="L3" s="341"/>
    </row>
    <row r="4" spans="2:12" x14ac:dyDescent="0.25">
      <c r="B4" s="271"/>
      <c r="C4" s="271"/>
      <c r="D4" s="271"/>
      <c r="E4" s="271"/>
      <c r="G4" s="347"/>
      <c r="H4" s="348"/>
      <c r="I4" s="348"/>
      <c r="J4" s="349"/>
      <c r="K4" s="342"/>
      <c r="L4" s="343"/>
    </row>
    <row r="5" spans="2:12" ht="15" customHeight="1" x14ac:dyDescent="0.25">
      <c r="B5" s="274" t="s">
        <v>64</v>
      </c>
      <c r="C5" s="283" t="s">
        <v>65</v>
      </c>
      <c r="D5" s="325" t="s">
        <v>149</v>
      </c>
      <c r="E5" s="276">
        <v>3803.7</v>
      </c>
      <c r="G5" s="334" t="s">
        <v>124</v>
      </c>
      <c r="H5" s="335"/>
      <c r="I5" s="335"/>
      <c r="J5" s="336"/>
      <c r="K5" s="340" t="s">
        <v>157</v>
      </c>
      <c r="L5" s="341"/>
    </row>
    <row r="6" spans="2:12" x14ac:dyDescent="0.25">
      <c r="B6" s="275"/>
      <c r="C6" s="284"/>
      <c r="D6" s="326"/>
      <c r="E6" s="277"/>
      <c r="G6" s="337"/>
      <c r="H6" s="338"/>
      <c r="I6" s="338"/>
      <c r="J6" s="339"/>
      <c r="K6" s="342"/>
      <c r="L6" s="343"/>
    </row>
    <row r="7" spans="2:12" ht="15" customHeight="1" x14ac:dyDescent="0.25">
      <c r="B7" s="274" t="s">
        <v>66</v>
      </c>
      <c r="C7" s="283" t="s">
        <v>67</v>
      </c>
      <c r="D7" s="276">
        <v>994.2</v>
      </c>
      <c r="E7" s="276">
        <v>3803.7</v>
      </c>
    </row>
    <row r="8" spans="2:12" x14ac:dyDescent="0.25">
      <c r="B8" s="275"/>
      <c r="C8" s="284"/>
      <c r="D8" s="277"/>
      <c r="E8" s="277"/>
    </row>
    <row r="9" spans="2:12" ht="15" customHeight="1" x14ac:dyDescent="0.25">
      <c r="B9" s="274" t="s">
        <v>68</v>
      </c>
      <c r="C9" s="283" t="s">
        <v>69</v>
      </c>
      <c r="D9" s="276">
        <v>864.9</v>
      </c>
      <c r="E9" s="276">
        <v>3803.7</v>
      </c>
      <c r="G9" s="231">
        <v>2018</v>
      </c>
      <c r="H9" s="236" t="s">
        <v>97</v>
      </c>
      <c r="I9" s="236" t="s">
        <v>98</v>
      </c>
      <c r="J9" s="236" t="s">
        <v>99</v>
      </c>
    </row>
    <row r="10" spans="2:12" ht="15" customHeight="1" x14ac:dyDescent="0.25">
      <c r="B10" s="275"/>
      <c r="C10" s="284"/>
      <c r="D10" s="277"/>
      <c r="E10" s="277"/>
      <c r="G10" s="231"/>
      <c r="H10" s="237"/>
      <c r="I10" s="237"/>
      <c r="J10" s="237"/>
    </row>
    <row r="11" spans="2:12" ht="15" customHeight="1" x14ac:dyDescent="0.25">
      <c r="B11" s="274" t="s">
        <v>70</v>
      </c>
      <c r="C11" s="283" t="s">
        <v>71</v>
      </c>
      <c r="D11" s="276">
        <v>858.6</v>
      </c>
      <c r="E11" s="276">
        <v>3803.7</v>
      </c>
      <c r="G11" s="231"/>
      <c r="H11" s="323" t="s">
        <v>100</v>
      </c>
      <c r="I11" s="323" t="s">
        <v>101</v>
      </c>
      <c r="J11" s="323" t="s">
        <v>102</v>
      </c>
    </row>
    <row r="12" spans="2:12" ht="15" customHeight="1" x14ac:dyDescent="0.25">
      <c r="B12" s="275"/>
      <c r="C12" s="284"/>
      <c r="D12" s="277"/>
      <c r="E12" s="277"/>
      <c r="G12" s="231"/>
      <c r="H12" s="324"/>
      <c r="I12" s="324"/>
      <c r="J12" s="324"/>
    </row>
    <row r="13" spans="2:12" ht="15" customHeight="1" x14ac:dyDescent="0.25">
      <c r="B13" s="274" t="s">
        <v>72</v>
      </c>
      <c r="C13" s="283" t="s">
        <v>73</v>
      </c>
      <c r="D13" s="276">
        <v>858.6</v>
      </c>
      <c r="E13" s="276">
        <v>3803.7</v>
      </c>
      <c r="G13" s="231"/>
      <c r="H13" s="323" t="s">
        <v>103</v>
      </c>
      <c r="I13" s="323" t="s">
        <v>104</v>
      </c>
      <c r="J13" s="323" t="s">
        <v>105</v>
      </c>
    </row>
    <row r="14" spans="2:12" ht="15" customHeight="1" x14ac:dyDescent="0.25">
      <c r="B14" s="275"/>
      <c r="C14" s="284"/>
      <c r="D14" s="277"/>
      <c r="E14" s="277"/>
      <c r="G14" s="231"/>
      <c r="H14" s="324"/>
      <c r="I14" s="324"/>
      <c r="J14" s="324"/>
    </row>
    <row r="15" spans="2:12" x14ac:dyDescent="0.25">
      <c r="B15" s="274" t="s">
        <v>74</v>
      </c>
      <c r="C15" s="283" t="s">
        <v>75</v>
      </c>
      <c r="D15" s="276">
        <v>858.6</v>
      </c>
      <c r="E15" s="276">
        <v>3803.7</v>
      </c>
    </row>
    <row r="16" spans="2:12" x14ac:dyDescent="0.25">
      <c r="B16" s="275"/>
      <c r="C16" s="284"/>
      <c r="D16" s="277"/>
      <c r="E16" s="277"/>
    </row>
    <row r="17" spans="2:11" x14ac:dyDescent="0.25">
      <c r="B17" s="274" t="s">
        <v>76</v>
      </c>
      <c r="C17" s="283" t="s">
        <v>77</v>
      </c>
      <c r="D17" s="276">
        <v>858.6</v>
      </c>
      <c r="E17" s="276">
        <v>3803.7</v>
      </c>
      <c r="G17" s="231">
        <v>2018</v>
      </c>
      <c r="H17" s="244" t="s">
        <v>106</v>
      </c>
      <c r="I17" s="236" t="s">
        <v>107</v>
      </c>
      <c r="J17" s="236" t="s">
        <v>108</v>
      </c>
      <c r="K17" s="236" t="s">
        <v>109</v>
      </c>
    </row>
    <row r="18" spans="2:11" x14ac:dyDescent="0.25">
      <c r="B18" s="275"/>
      <c r="C18" s="284"/>
      <c r="D18" s="277"/>
      <c r="E18" s="277"/>
      <c r="G18" s="231"/>
      <c r="H18" s="244"/>
      <c r="I18" s="237"/>
      <c r="J18" s="237"/>
      <c r="K18" s="237"/>
    </row>
    <row r="19" spans="2:11" x14ac:dyDescent="0.25">
      <c r="B19" s="271" t="s">
        <v>78</v>
      </c>
      <c r="C19" s="271" t="s">
        <v>61</v>
      </c>
      <c r="D19" s="327" t="s">
        <v>79</v>
      </c>
      <c r="E19" s="327" t="s">
        <v>79</v>
      </c>
      <c r="G19" s="231"/>
      <c r="H19" s="245" t="s">
        <v>110</v>
      </c>
      <c r="I19" s="328" t="s">
        <v>111</v>
      </c>
      <c r="J19" s="329"/>
      <c r="K19" s="330"/>
    </row>
    <row r="20" spans="2:11" x14ac:dyDescent="0.25">
      <c r="B20" s="271"/>
      <c r="C20" s="271"/>
      <c r="D20" s="327"/>
      <c r="E20" s="327"/>
      <c r="G20" s="231"/>
      <c r="H20" s="245"/>
      <c r="I20" s="331"/>
      <c r="J20" s="332"/>
      <c r="K20" s="333"/>
    </row>
    <row r="21" spans="2:11" ht="15" customHeight="1" x14ac:dyDescent="0.25">
      <c r="B21" s="274" t="s">
        <v>80</v>
      </c>
      <c r="C21" s="283" t="s">
        <v>81</v>
      </c>
      <c r="D21" s="276">
        <v>28.62</v>
      </c>
      <c r="E21" s="276">
        <v>126.79</v>
      </c>
      <c r="G21" s="231"/>
      <c r="H21" s="247" t="s">
        <v>112</v>
      </c>
      <c r="I21" s="247"/>
      <c r="J21" s="247"/>
      <c r="K21" s="247"/>
    </row>
    <row r="22" spans="2:11" ht="15" customHeight="1" x14ac:dyDescent="0.25">
      <c r="B22" s="275"/>
      <c r="C22" s="284"/>
      <c r="D22" s="277"/>
      <c r="E22" s="277"/>
      <c r="G22" s="231"/>
      <c r="H22" s="247"/>
      <c r="I22" s="247"/>
      <c r="J22" s="247"/>
      <c r="K22" s="247"/>
    </row>
    <row r="23" spans="2:11" x14ac:dyDescent="0.25">
      <c r="B23" s="274" t="s">
        <v>82</v>
      </c>
      <c r="C23" s="283" t="s">
        <v>83</v>
      </c>
      <c r="D23" s="276">
        <v>28.62</v>
      </c>
      <c r="E23" s="276">
        <v>126.79</v>
      </c>
      <c r="G23" s="231"/>
      <c r="H23" s="247"/>
      <c r="I23" s="247"/>
      <c r="J23" s="247"/>
      <c r="K23" s="247"/>
    </row>
    <row r="24" spans="2:11" x14ac:dyDescent="0.25">
      <c r="B24" s="275"/>
      <c r="C24" s="284"/>
      <c r="D24" s="277"/>
      <c r="E24" s="277"/>
    </row>
    <row r="25" spans="2:11" x14ac:dyDescent="0.25">
      <c r="B25" s="274" t="s">
        <v>84</v>
      </c>
      <c r="C25" s="283" t="s">
        <v>85</v>
      </c>
      <c r="D25" s="276">
        <v>28.62</v>
      </c>
      <c r="E25" s="276">
        <v>126.79</v>
      </c>
    </row>
    <row r="26" spans="2:11" x14ac:dyDescent="0.25">
      <c r="B26" s="275"/>
      <c r="C26" s="284"/>
      <c r="D26" s="277"/>
      <c r="E26" s="277"/>
    </row>
    <row r="27" spans="2:11" ht="15" customHeight="1" x14ac:dyDescent="0.25">
      <c r="B27" s="274" t="s">
        <v>86</v>
      </c>
      <c r="C27" s="283" t="s">
        <v>87</v>
      </c>
      <c r="D27" s="276">
        <v>28.62</v>
      </c>
      <c r="E27" s="276">
        <v>126.79</v>
      </c>
    </row>
    <row r="28" spans="2:11" x14ac:dyDescent="0.25">
      <c r="B28" s="275"/>
      <c r="C28" s="284"/>
      <c r="D28" s="277"/>
      <c r="E28" s="277"/>
    </row>
    <row r="29" spans="2:11" x14ac:dyDescent="0.25">
      <c r="B29" s="62"/>
      <c r="C29" s="62"/>
      <c r="D29" s="63"/>
      <c r="E29" s="63"/>
    </row>
    <row r="31" spans="2:11" ht="15" customHeight="1" x14ac:dyDescent="0.25">
      <c r="B31" s="281" t="s">
        <v>88</v>
      </c>
      <c r="C31" s="281"/>
      <c r="D31" s="281"/>
      <c r="E31" s="281"/>
      <c r="F31" s="281"/>
    </row>
    <row r="32" spans="2:11" x14ac:dyDescent="0.25">
      <c r="B32" s="220">
        <v>2018</v>
      </c>
      <c r="C32" s="271" t="s">
        <v>89</v>
      </c>
      <c r="D32" s="271" t="s">
        <v>90</v>
      </c>
      <c r="E32" s="272" t="s">
        <v>91</v>
      </c>
      <c r="F32" s="271" t="s">
        <v>59</v>
      </c>
    </row>
    <row r="33" spans="2:9" x14ac:dyDescent="0.25">
      <c r="B33" s="221"/>
      <c r="C33" s="271"/>
      <c r="D33" s="271"/>
      <c r="E33" s="273"/>
      <c r="F33" s="271"/>
    </row>
    <row r="34" spans="2:9" x14ac:dyDescent="0.25">
      <c r="B34" s="221"/>
      <c r="C34" s="283" t="s">
        <v>29</v>
      </c>
      <c r="D34" s="234">
        <v>0.23599999999999999</v>
      </c>
      <c r="E34" s="234">
        <v>4.7E-2</v>
      </c>
      <c r="F34" s="234">
        <f>D34+E34</f>
        <v>0.28299999999999997</v>
      </c>
      <c r="I34" s="148"/>
    </row>
    <row r="35" spans="2:9" x14ac:dyDescent="0.25">
      <c r="B35" s="221"/>
      <c r="C35" s="284"/>
      <c r="D35" s="235"/>
      <c r="E35" s="235"/>
      <c r="F35" s="235"/>
    </row>
    <row r="36" spans="2:9" x14ac:dyDescent="0.25">
      <c r="B36" s="221"/>
      <c r="C36" s="283" t="s">
        <v>92</v>
      </c>
      <c r="D36" s="234">
        <v>0.12</v>
      </c>
      <c r="E36" s="234">
        <v>0.02</v>
      </c>
      <c r="F36" s="234">
        <f>D36+E36</f>
        <v>0.13999999999999999</v>
      </c>
    </row>
    <row r="37" spans="2:9" x14ac:dyDescent="0.25">
      <c r="B37" s="221"/>
      <c r="C37" s="284"/>
      <c r="D37" s="235"/>
      <c r="E37" s="235"/>
      <c r="F37" s="235"/>
    </row>
    <row r="38" spans="2:9" x14ac:dyDescent="0.25">
      <c r="B38" s="221"/>
      <c r="C38" s="283" t="s">
        <v>93</v>
      </c>
      <c r="D38" s="234">
        <v>0.23599999999999999</v>
      </c>
      <c r="E38" s="234">
        <v>4.7E-2</v>
      </c>
      <c r="F38" s="234">
        <f>D38+E38</f>
        <v>0.28299999999999997</v>
      </c>
    </row>
    <row r="39" spans="2:9" x14ac:dyDescent="0.25">
      <c r="B39" s="221"/>
      <c r="C39" s="284"/>
      <c r="D39" s="235"/>
      <c r="E39" s="235"/>
      <c r="F39" s="235"/>
    </row>
    <row r="40" spans="2:9" x14ac:dyDescent="0.25">
      <c r="B40" s="221"/>
      <c r="C40" s="283" t="s">
        <v>94</v>
      </c>
      <c r="D40" s="234">
        <v>5.5E-2</v>
      </c>
      <c r="E40" s="234">
        <v>1.55E-2</v>
      </c>
      <c r="F40" s="234">
        <f>D40+E40</f>
        <v>7.0500000000000007E-2</v>
      </c>
    </row>
    <row r="41" spans="2:9" x14ac:dyDescent="0.25">
      <c r="B41" s="221"/>
      <c r="C41" s="284"/>
      <c r="D41" s="235"/>
      <c r="E41" s="235"/>
      <c r="F41" s="235"/>
    </row>
    <row r="42" spans="2:9" x14ac:dyDescent="0.25">
      <c r="B42" s="221"/>
      <c r="C42" s="283" t="s">
        <v>95</v>
      </c>
      <c r="D42" s="234">
        <v>6.7000000000000004E-2</v>
      </c>
      <c r="E42" s="234">
        <v>1.6E-2</v>
      </c>
      <c r="F42" s="234">
        <f>D42+E42</f>
        <v>8.3000000000000004E-2</v>
      </c>
    </row>
    <row r="43" spans="2:9" x14ac:dyDescent="0.25">
      <c r="B43" s="221"/>
      <c r="C43" s="284"/>
      <c r="D43" s="235"/>
      <c r="E43" s="235"/>
      <c r="F43" s="235"/>
    </row>
    <row r="44" spans="2:9" x14ac:dyDescent="0.25">
      <c r="B44" s="221"/>
      <c r="C44" s="283" t="s">
        <v>55</v>
      </c>
      <c r="D44" s="234">
        <v>2E-3</v>
      </c>
      <c r="E44" s="234"/>
      <c r="F44" s="234">
        <f>D44+E44</f>
        <v>2E-3</v>
      </c>
    </row>
    <row r="45" spans="2:9" x14ac:dyDescent="0.25">
      <c r="B45" s="221"/>
      <c r="C45" s="284"/>
      <c r="D45" s="235"/>
      <c r="E45" s="235"/>
      <c r="F45" s="235"/>
    </row>
    <row r="46" spans="2:9" ht="20.100000000000001" customHeight="1" x14ac:dyDescent="0.25">
      <c r="B46" s="221"/>
      <c r="C46" s="283" t="s">
        <v>96</v>
      </c>
      <c r="D46" s="234">
        <v>6.0000000000000001E-3</v>
      </c>
      <c r="E46" s="234">
        <v>1E-3</v>
      </c>
      <c r="F46" s="234">
        <f>D46+E46</f>
        <v>7.0000000000000001E-3</v>
      </c>
    </row>
    <row r="47" spans="2:9" ht="20.100000000000001" customHeight="1" x14ac:dyDescent="0.25">
      <c r="B47" s="222"/>
      <c r="C47" s="284"/>
      <c r="D47" s="235"/>
      <c r="E47" s="235"/>
      <c r="F47" s="235"/>
    </row>
    <row r="51" spans="2:9" ht="40.5" customHeight="1" x14ac:dyDescent="0.25">
      <c r="B51" s="281" t="s">
        <v>158</v>
      </c>
      <c r="C51" s="281"/>
      <c r="D51" s="281"/>
      <c r="E51" s="281"/>
      <c r="F51" s="281"/>
    </row>
    <row r="52" spans="2:9" ht="20.100000000000001" customHeight="1" x14ac:dyDescent="0.25">
      <c r="B52" s="291"/>
      <c r="C52" s="291"/>
      <c r="D52" s="64" t="s">
        <v>114</v>
      </c>
      <c r="E52" s="64" t="s">
        <v>115</v>
      </c>
      <c r="F52" s="64" t="s">
        <v>50</v>
      </c>
      <c r="H52" s="268"/>
      <c r="I52" s="268"/>
    </row>
    <row r="53" spans="2:9" ht="27.75" customHeight="1" x14ac:dyDescent="0.25">
      <c r="B53" s="65" t="s">
        <v>134</v>
      </c>
      <c r="C53" s="66" t="s">
        <v>135</v>
      </c>
      <c r="D53" s="67">
        <v>6.4999999999999997E-3</v>
      </c>
      <c r="E53" s="67">
        <v>3.5000000000000001E-3</v>
      </c>
      <c r="F53" s="68">
        <f>D53+E53</f>
        <v>0.01</v>
      </c>
    </row>
    <row r="54" spans="2:9" ht="24.75" customHeight="1" x14ac:dyDescent="0.25">
      <c r="B54" s="65" t="s">
        <v>136</v>
      </c>
      <c r="C54" s="69" t="s">
        <v>137</v>
      </c>
      <c r="D54" s="67">
        <v>0.01</v>
      </c>
      <c r="E54" s="67">
        <v>0.01</v>
      </c>
      <c r="F54" s="68">
        <f>D54+E54</f>
        <v>0.02</v>
      </c>
    </row>
    <row r="55" spans="2:9" ht="24.75" customHeight="1" x14ac:dyDescent="0.25">
      <c r="B55" s="65" t="s">
        <v>138</v>
      </c>
      <c r="C55" s="70"/>
      <c r="D55" s="71"/>
      <c r="E55" s="71"/>
      <c r="F55" s="68">
        <f>D55+E55</f>
        <v>0</v>
      </c>
    </row>
    <row r="56" spans="2:9" ht="21.75" customHeight="1" x14ac:dyDescent="0.25">
      <c r="B56" s="274" t="s">
        <v>139</v>
      </c>
      <c r="C56" s="283" t="s">
        <v>140</v>
      </c>
      <c r="D56" s="289">
        <v>3.3500000000000002E-2</v>
      </c>
      <c r="E56" s="289">
        <v>3.3500000000000002E-2</v>
      </c>
      <c r="F56" s="234">
        <f>D56+E56</f>
        <v>6.7000000000000004E-2</v>
      </c>
    </row>
    <row r="57" spans="2:9" ht="27" customHeight="1" x14ac:dyDescent="0.25">
      <c r="B57" s="275"/>
      <c r="C57" s="284"/>
      <c r="D57" s="290"/>
      <c r="E57" s="290"/>
      <c r="F57" s="235"/>
    </row>
    <row r="58" spans="2:9" ht="24.75" customHeight="1" x14ac:dyDescent="0.25">
      <c r="B58" s="65" t="s">
        <v>141</v>
      </c>
      <c r="C58" s="70"/>
      <c r="D58" s="71"/>
      <c r="E58" s="71"/>
      <c r="F58" s="70"/>
    </row>
    <row r="59" spans="2:9" ht="20.100000000000001" customHeight="1" x14ac:dyDescent="0.25">
      <c r="B59" s="225" t="s">
        <v>142</v>
      </c>
      <c r="C59" s="283" t="s">
        <v>143</v>
      </c>
      <c r="D59" s="289">
        <v>3.3500000000000002E-2</v>
      </c>
      <c r="E59" s="289">
        <v>3.3500000000000002E-2</v>
      </c>
      <c r="F59" s="234">
        <f>D59+E59</f>
        <v>6.7000000000000004E-2</v>
      </c>
    </row>
    <row r="60" spans="2:9" ht="30.75" customHeight="1" x14ac:dyDescent="0.25">
      <c r="B60" s="225"/>
      <c r="C60" s="284"/>
      <c r="D60" s="290"/>
      <c r="E60" s="290"/>
      <c r="F60" s="235"/>
    </row>
    <row r="61" spans="2:9" ht="20.100000000000001" customHeight="1" x14ac:dyDescent="0.25">
      <c r="B61" s="225" t="s">
        <v>144</v>
      </c>
      <c r="C61" s="283" t="s">
        <v>145</v>
      </c>
      <c r="D61" s="285">
        <v>2.1000000000000001E-2</v>
      </c>
      <c r="E61" s="285">
        <v>1.4999999999999999E-2</v>
      </c>
      <c r="F61" s="234">
        <f>D61+E61</f>
        <v>3.6000000000000004E-2</v>
      </c>
    </row>
    <row r="62" spans="2:9" ht="27" customHeight="1" x14ac:dyDescent="0.25">
      <c r="B62" s="225"/>
      <c r="C62" s="284"/>
      <c r="D62" s="285"/>
      <c r="E62" s="285"/>
      <c r="F62" s="235"/>
    </row>
    <row r="63" spans="2:9" ht="20.100000000000001" customHeight="1" x14ac:dyDescent="0.25">
      <c r="B63" s="225" t="s">
        <v>146</v>
      </c>
      <c r="C63" s="283" t="s">
        <v>147</v>
      </c>
      <c r="D63" s="285">
        <v>1.4E-2</v>
      </c>
      <c r="E63" s="285">
        <v>2.1999999999999999E-2</v>
      </c>
      <c r="F63" s="234">
        <f>D63+E63</f>
        <v>3.5999999999999997E-2</v>
      </c>
    </row>
    <row r="64" spans="2:9" ht="20.100000000000001" customHeight="1" x14ac:dyDescent="0.25">
      <c r="B64" s="225"/>
      <c r="C64" s="284"/>
      <c r="D64" s="285"/>
      <c r="E64" s="285"/>
      <c r="F64" s="235"/>
    </row>
    <row r="65" spans="2:6" ht="20.100000000000001" customHeight="1" x14ac:dyDescent="0.25">
      <c r="B65" s="87"/>
      <c r="C65" s="88"/>
      <c r="D65" s="89"/>
      <c r="E65" s="89"/>
      <c r="F65" s="90"/>
    </row>
    <row r="66" spans="2:6" ht="20.100000000000001" customHeight="1" x14ac:dyDescent="0.25">
      <c r="B66" s="65" t="s">
        <v>159</v>
      </c>
      <c r="C66" s="91" t="s">
        <v>160</v>
      </c>
      <c r="D66" s="92">
        <v>1.4E-2</v>
      </c>
      <c r="E66" s="92">
        <v>2.1999999999999999E-2</v>
      </c>
      <c r="F66" s="93">
        <f>D66+E66</f>
        <v>3.5999999999999997E-2</v>
      </c>
    </row>
    <row r="67" spans="2:6" ht="38.25" customHeight="1" x14ac:dyDescent="0.25">
      <c r="B67" s="65" t="s">
        <v>161</v>
      </c>
      <c r="C67" s="94" t="s">
        <v>162</v>
      </c>
      <c r="D67" s="92">
        <v>2.1000000000000001E-2</v>
      </c>
      <c r="E67" s="92">
        <v>0.02</v>
      </c>
      <c r="F67" s="93">
        <f>D67+E67</f>
        <v>4.1000000000000002E-2</v>
      </c>
    </row>
    <row r="68" spans="2:6" ht="20.100000000000001" customHeight="1" x14ac:dyDescent="0.25">
      <c r="B68" s="225" t="s">
        <v>163</v>
      </c>
      <c r="C68" s="283" t="s">
        <v>164</v>
      </c>
      <c r="D68" s="285">
        <v>1.6500000000000001E-2</v>
      </c>
      <c r="E68" s="285">
        <v>1.7000000000000001E-2</v>
      </c>
      <c r="F68" s="234">
        <f>D68+E68</f>
        <v>3.3500000000000002E-2</v>
      </c>
    </row>
    <row r="69" spans="2:6" x14ac:dyDescent="0.25">
      <c r="B69" s="225"/>
      <c r="C69" s="284"/>
      <c r="D69" s="285"/>
      <c r="E69" s="285"/>
      <c r="F69" s="235"/>
    </row>
    <row r="70" spans="2:6" x14ac:dyDescent="0.25">
      <c r="B70" s="225" t="s">
        <v>165</v>
      </c>
      <c r="C70" s="283" t="s">
        <v>166</v>
      </c>
      <c r="D70" s="285">
        <v>3.3500000000000002E-2</v>
      </c>
      <c r="E70" s="285">
        <v>3.3500000000000002E-2</v>
      </c>
      <c r="F70" s="234">
        <f>D70+E70</f>
        <v>6.7000000000000004E-2</v>
      </c>
    </row>
    <row r="71" spans="2:6" x14ac:dyDescent="0.25">
      <c r="B71" s="225"/>
      <c r="C71" s="284"/>
      <c r="D71" s="285"/>
      <c r="E71" s="285"/>
      <c r="F71" s="235"/>
    </row>
    <row r="72" spans="2:6" x14ac:dyDescent="0.25">
      <c r="B72" s="225" t="s">
        <v>167</v>
      </c>
      <c r="C72" s="283" t="s">
        <v>168</v>
      </c>
      <c r="D72" s="285">
        <v>3.4500000000000003E-2</v>
      </c>
      <c r="E72" s="285">
        <v>3.6999999999999998E-2</v>
      </c>
      <c r="F72" s="234">
        <f>D72+E72</f>
        <v>7.1500000000000008E-2</v>
      </c>
    </row>
    <row r="73" spans="2:6" x14ac:dyDescent="0.25">
      <c r="B73" s="225"/>
      <c r="C73" s="284"/>
      <c r="D73" s="285"/>
      <c r="E73" s="285"/>
      <c r="F73" s="235"/>
    </row>
    <row r="74" spans="2:6" ht="31.5" customHeight="1" x14ac:dyDescent="0.25">
      <c r="B74" s="73" t="s">
        <v>152</v>
      </c>
      <c r="C74" s="305" t="s">
        <v>153</v>
      </c>
      <c r="D74" s="306"/>
      <c r="E74" s="306"/>
      <c r="F74" s="307"/>
    </row>
    <row r="75" spans="2:6" ht="30.75" customHeight="1" x14ac:dyDescent="0.25">
      <c r="B75" s="72" t="s">
        <v>117</v>
      </c>
      <c r="C75" s="282" t="s">
        <v>118</v>
      </c>
      <c r="D75" s="282"/>
      <c r="E75" s="282"/>
      <c r="F75" s="282"/>
    </row>
    <row r="76" spans="2:6" ht="28.5" customHeight="1" x14ac:dyDescent="0.25">
      <c r="B76" s="72" t="s">
        <v>117</v>
      </c>
      <c r="C76" s="282" t="s">
        <v>119</v>
      </c>
      <c r="D76" s="282"/>
      <c r="E76" s="282"/>
      <c r="F76" s="282"/>
    </row>
  </sheetData>
  <mergeCells count="151">
    <mergeCell ref="B7:B8"/>
    <mergeCell ref="C7:C8"/>
    <mergeCell ref="D7:D8"/>
    <mergeCell ref="E7:E8"/>
    <mergeCell ref="B9:B10"/>
    <mergeCell ref="C9:C10"/>
    <mergeCell ref="B5:B6"/>
    <mergeCell ref="C5:C6"/>
    <mergeCell ref="D5:D6"/>
    <mergeCell ref="E5:E6"/>
    <mergeCell ref="G5:J6"/>
    <mergeCell ref="K5:L6"/>
    <mergeCell ref="B2:E2"/>
    <mergeCell ref="G2:L2"/>
    <mergeCell ref="B3:B4"/>
    <mergeCell ref="C3:C4"/>
    <mergeCell ref="D3:D4"/>
    <mergeCell ref="E3:E4"/>
    <mergeCell ref="G3:J4"/>
    <mergeCell ref="K3:L4"/>
    <mergeCell ref="B15:B16"/>
    <mergeCell ref="C15:C16"/>
    <mergeCell ref="D15:D16"/>
    <mergeCell ref="E15:E16"/>
    <mergeCell ref="B17:B18"/>
    <mergeCell ref="C17:C18"/>
    <mergeCell ref="D17:D18"/>
    <mergeCell ref="E17:E18"/>
    <mergeCell ref="G17:G23"/>
    <mergeCell ref="B23:B24"/>
    <mergeCell ref="C23:C24"/>
    <mergeCell ref="D23:D24"/>
    <mergeCell ref="E23:E24"/>
    <mergeCell ref="J11:J12"/>
    <mergeCell ref="B13:B14"/>
    <mergeCell ref="C13:C14"/>
    <mergeCell ref="D13:D14"/>
    <mergeCell ref="E13:E14"/>
    <mergeCell ref="H13:H14"/>
    <mergeCell ref="I13:I14"/>
    <mergeCell ref="J13:J14"/>
    <mergeCell ref="G9:G14"/>
    <mergeCell ref="H9:H10"/>
    <mergeCell ref="I9:I10"/>
    <mergeCell ref="J9:J10"/>
    <mergeCell ref="B11:B12"/>
    <mergeCell ref="C11:C12"/>
    <mergeCell ref="D11:D12"/>
    <mergeCell ref="E11:E12"/>
    <mergeCell ref="D9:D10"/>
    <mergeCell ref="E9:E10"/>
    <mergeCell ref="H11:H12"/>
    <mergeCell ref="I11:I12"/>
    <mergeCell ref="B25:B26"/>
    <mergeCell ref="C25:C26"/>
    <mergeCell ref="D25:D26"/>
    <mergeCell ref="E25:E26"/>
    <mergeCell ref="I19:K20"/>
    <mergeCell ref="B21:B22"/>
    <mergeCell ref="C21:C22"/>
    <mergeCell ref="D21:D22"/>
    <mergeCell ref="E21:E22"/>
    <mergeCell ref="H21:K23"/>
    <mergeCell ref="H17:H18"/>
    <mergeCell ref="I17:I18"/>
    <mergeCell ref="J17:J18"/>
    <mergeCell ref="K17:K18"/>
    <mergeCell ref="B19:B20"/>
    <mergeCell ref="C19:C20"/>
    <mergeCell ref="D19:D20"/>
    <mergeCell ref="E19:E20"/>
    <mergeCell ref="H19:H20"/>
    <mergeCell ref="C34:C35"/>
    <mergeCell ref="D34:D35"/>
    <mergeCell ref="E34:E35"/>
    <mergeCell ref="F34:F35"/>
    <mergeCell ref="C36:C37"/>
    <mergeCell ref="D36:D37"/>
    <mergeCell ref="E36:E37"/>
    <mergeCell ref="F36:F37"/>
    <mergeCell ref="B27:B28"/>
    <mergeCell ref="C27:C28"/>
    <mergeCell ref="D27:D28"/>
    <mergeCell ref="E27:E28"/>
    <mergeCell ref="B31:F31"/>
    <mergeCell ref="B32:B47"/>
    <mergeCell ref="C32:C33"/>
    <mergeCell ref="D32:D33"/>
    <mergeCell ref="E32:E33"/>
    <mergeCell ref="F32:F33"/>
    <mergeCell ref="C42:C43"/>
    <mergeCell ref="D42:D43"/>
    <mergeCell ref="E42:E43"/>
    <mergeCell ref="F42:F43"/>
    <mergeCell ref="C44:C45"/>
    <mergeCell ref="D44:D45"/>
    <mergeCell ref="E44:E45"/>
    <mergeCell ref="F44:F45"/>
    <mergeCell ref="C38:C39"/>
    <mergeCell ref="D38:D39"/>
    <mergeCell ref="E38:E39"/>
    <mergeCell ref="F38:F39"/>
    <mergeCell ref="C40:C41"/>
    <mergeCell ref="D40:D41"/>
    <mergeCell ref="E40:E41"/>
    <mergeCell ref="F40:F41"/>
    <mergeCell ref="H52:I52"/>
    <mergeCell ref="B56:B57"/>
    <mergeCell ref="C56:C57"/>
    <mergeCell ref="D56:D57"/>
    <mergeCell ref="E56:E57"/>
    <mergeCell ref="F56:F57"/>
    <mergeCell ref="C46:C47"/>
    <mergeCell ref="D46:D47"/>
    <mergeCell ref="E46:E47"/>
    <mergeCell ref="F46:F47"/>
    <mergeCell ref="B51:F51"/>
    <mergeCell ref="B52:C52"/>
    <mergeCell ref="B59:B60"/>
    <mergeCell ref="C59:C60"/>
    <mergeCell ref="D59:D60"/>
    <mergeCell ref="E59:E60"/>
    <mergeCell ref="F59:F60"/>
    <mergeCell ref="B61:B62"/>
    <mergeCell ref="C61:C62"/>
    <mergeCell ref="D61:D62"/>
    <mergeCell ref="E61:E62"/>
    <mergeCell ref="F61:F62"/>
    <mergeCell ref="B63:B64"/>
    <mergeCell ref="C63:C64"/>
    <mergeCell ref="D63:D64"/>
    <mergeCell ref="E63:E64"/>
    <mergeCell ref="F63:F64"/>
    <mergeCell ref="B68:B69"/>
    <mergeCell ref="C68:C69"/>
    <mergeCell ref="D68:D69"/>
    <mergeCell ref="E68:E69"/>
    <mergeCell ref="F68:F69"/>
    <mergeCell ref="C74:F74"/>
    <mergeCell ref="C75:F75"/>
    <mergeCell ref="C76:F76"/>
    <mergeCell ref="B70:B71"/>
    <mergeCell ref="C70:C71"/>
    <mergeCell ref="D70:D71"/>
    <mergeCell ref="E70:E71"/>
    <mergeCell ref="F70:F71"/>
    <mergeCell ref="B72:B73"/>
    <mergeCell ref="C72:C73"/>
    <mergeCell ref="D72:D73"/>
    <mergeCell ref="E72:E73"/>
    <mergeCell ref="F72:F7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59"/>
  <sheetViews>
    <sheetView workbookViewId="0">
      <selection activeCell="E32" sqref="E32:E33"/>
    </sheetView>
  </sheetViews>
  <sheetFormatPr baseColWidth="10" defaultColWidth="11.42578125" defaultRowHeight="15" x14ac:dyDescent="0.25"/>
  <cols>
    <col min="1" max="1" width="11.42578125" style="61"/>
    <col min="2" max="2" width="13.85546875" style="61" customWidth="1"/>
    <col min="3" max="3" width="50.42578125" style="61" customWidth="1"/>
    <col min="4" max="4" width="17.85546875" style="61" customWidth="1"/>
    <col min="5" max="5" width="20" style="61" customWidth="1"/>
    <col min="6" max="6" width="15.140625" style="61" customWidth="1"/>
    <col min="7" max="7" width="11.42578125" style="61"/>
    <col min="8" max="8" width="29.85546875" style="61" customWidth="1"/>
    <col min="9" max="9" width="17.7109375" style="61" customWidth="1"/>
    <col min="10" max="10" width="17.140625" style="61" customWidth="1"/>
    <col min="11" max="11" width="17.7109375" style="61" customWidth="1"/>
    <col min="12" max="12" width="19.28515625" style="61" bestFit="1" customWidth="1"/>
    <col min="13" max="13" width="39.5703125" style="61" customWidth="1"/>
    <col min="14" max="14" width="15.42578125" style="61" customWidth="1"/>
    <col min="15" max="15" width="15.7109375" style="61" customWidth="1"/>
    <col min="16" max="16384" width="11.42578125" style="61"/>
  </cols>
  <sheetData>
    <row r="2" spans="2:12" ht="31.5" customHeight="1" x14ac:dyDescent="0.25">
      <c r="B2" s="281" t="s">
        <v>246</v>
      </c>
      <c r="C2" s="281"/>
      <c r="D2" s="281"/>
      <c r="E2" s="281"/>
      <c r="G2" s="286" t="s">
        <v>247</v>
      </c>
      <c r="H2" s="287"/>
      <c r="I2" s="287"/>
      <c r="J2" s="287"/>
      <c r="K2" s="287"/>
      <c r="L2" s="288"/>
    </row>
    <row r="3" spans="2:12" ht="15" customHeight="1" x14ac:dyDescent="0.25">
      <c r="B3" s="271" t="s">
        <v>60</v>
      </c>
      <c r="C3" s="271" t="s">
        <v>61</v>
      </c>
      <c r="D3" s="271" t="s">
        <v>62</v>
      </c>
      <c r="E3" s="271" t="s">
        <v>63</v>
      </c>
      <c r="G3" s="344" t="s">
        <v>125</v>
      </c>
      <c r="H3" s="345"/>
      <c r="I3" s="345"/>
      <c r="J3" s="346"/>
      <c r="K3" s="353">
        <v>1050</v>
      </c>
      <c r="L3" s="354"/>
    </row>
    <row r="4" spans="2:12" x14ac:dyDescent="0.25">
      <c r="B4" s="271"/>
      <c r="C4" s="271"/>
      <c r="D4" s="271"/>
      <c r="E4" s="271"/>
      <c r="G4" s="347"/>
      <c r="H4" s="348"/>
      <c r="I4" s="348"/>
      <c r="J4" s="349"/>
      <c r="K4" s="355"/>
      <c r="L4" s="356"/>
    </row>
    <row r="5" spans="2:12" ht="15" customHeight="1" x14ac:dyDescent="0.25">
      <c r="B5" s="274" t="s">
        <v>64</v>
      </c>
      <c r="C5" s="283" t="s">
        <v>65</v>
      </c>
      <c r="D5" s="350">
        <v>1466.4</v>
      </c>
      <c r="E5" s="350" t="s">
        <v>248</v>
      </c>
      <c r="G5" s="334" t="s">
        <v>124</v>
      </c>
      <c r="H5" s="335"/>
      <c r="I5" s="335"/>
      <c r="J5" s="336"/>
      <c r="K5" s="353" t="s">
        <v>248</v>
      </c>
      <c r="L5" s="354"/>
    </row>
    <row r="6" spans="2:12" x14ac:dyDescent="0.25">
      <c r="B6" s="275"/>
      <c r="C6" s="284"/>
      <c r="D6" s="351"/>
      <c r="E6" s="351"/>
      <c r="G6" s="337"/>
      <c r="H6" s="338"/>
      <c r="I6" s="338"/>
      <c r="J6" s="339"/>
      <c r="K6" s="355"/>
      <c r="L6" s="356"/>
    </row>
    <row r="7" spans="2:12" ht="15" customHeight="1" x14ac:dyDescent="0.25">
      <c r="B7" s="274" t="s">
        <v>66</v>
      </c>
      <c r="C7" s="283" t="s">
        <v>67</v>
      </c>
      <c r="D7" s="350" t="s">
        <v>249</v>
      </c>
      <c r="E7" s="350" t="s">
        <v>248</v>
      </c>
    </row>
    <row r="8" spans="2:12" x14ac:dyDescent="0.25">
      <c r="B8" s="275"/>
      <c r="C8" s="284"/>
      <c r="D8" s="351"/>
      <c r="E8" s="351"/>
    </row>
    <row r="9" spans="2:12" ht="15" customHeight="1" x14ac:dyDescent="0.25">
      <c r="B9" s="274" t="s">
        <v>68</v>
      </c>
      <c r="C9" s="283" t="s">
        <v>69</v>
      </c>
      <c r="D9" s="350" t="s">
        <v>250</v>
      </c>
      <c r="E9" s="350" t="s">
        <v>248</v>
      </c>
      <c r="G9" s="231">
        <v>2019</v>
      </c>
      <c r="H9" s="236" t="s">
        <v>97</v>
      </c>
      <c r="I9" s="236" t="s">
        <v>98</v>
      </c>
      <c r="J9" s="236" t="s">
        <v>99</v>
      </c>
    </row>
    <row r="10" spans="2:12" ht="15" customHeight="1" x14ac:dyDescent="0.25">
      <c r="B10" s="275"/>
      <c r="C10" s="284"/>
      <c r="D10" s="351"/>
      <c r="E10" s="351"/>
      <c r="G10" s="231"/>
      <c r="H10" s="237"/>
      <c r="I10" s="237"/>
      <c r="J10" s="237"/>
    </row>
    <row r="11" spans="2:12" ht="15" customHeight="1" x14ac:dyDescent="0.25">
      <c r="B11" s="274" t="s">
        <v>70</v>
      </c>
      <c r="C11" s="283" t="s">
        <v>71</v>
      </c>
      <c r="D11" s="350">
        <v>1050</v>
      </c>
      <c r="E11" s="350" t="s">
        <v>248</v>
      </c>
      <c r="G11" s="231"/>
      <c r="H11" s="323" t="s">
        <v>100</v>
      </c>
      <c r="I11" s="323" t="s">
        <v>101</v>
      </c>
      <c r="J11" s="323" t="s">
        <v>102</v>
      </c>
    </row>
    <row r="12" spans="2:12" ht="15" customHeight="1" x14ac:dyDescent="0.25">
      <c r="B12" s="275"/>
      <c r="C12" s="284"/>
      <c r="D12" s="351"/>
      <c r="E12" s="351"/>
      <c r="G12" s="231"/>
      <c r="H12" s="324"/>
      <c r="I12" s="324"/>
      <c r="J12" s="324"/>
    </row>
    <row r="13" spans="2:12" ht="15" customHeight="1" x14ac:dyDescent="0.25">
      <c r="B13" s="274" t="s">
        <v>72</v>
      </c>
      <c r="C13" s="283" t="s">
        <v>73</v>
      </c>
      <c r="D13" s="350">
        <v>1050</v>
      </c>
      <c r="E13" s="350" t="s">
        <v>248</v>
      </c>
      <c r="G13" s="231"/>
      <c r="H13" s="323" t="s">
        <v>103</v>
      </c>
      <c r="I13" s="323" t="s">
        <v>104</v>
      </c>
      <c r="J13" s="323" t="s">
        <v>105</v>
      </c>
    </row>
    <row r="14" spans="2:12" ht="15" customHeight="1" x14ac:dyDescent="0.25">
      <c r="B14" s="275"/>
      <c r="C14" s="284"/>
      <c r="D14" s="351"/>
      <c r="E14" s="351"/>
      <c r="G14" s="231"/>
      <c r="H14" s="324"/>
      <c r="I14" s="324"/>
      <c r="J14" s="324"/>
    </row>
    <row r="15" spans="2:12" x14ac:dyDescent="0.25">
      <c r="B15" s="274" t="s">
        <v>74</v>
      </c>
      <c r="C15" s="283" t="s">
        <v>75</v>
      </c>
      <c r="D15" s="350">
        <v>1050</v>
      </c>
      <c r="E15" s="350" t="s">
        <v>248</v>
      </c>
    </row>
    <row r="16" spans="2:12" x14ac:dyDescent="0.25">
      <c r="B16" s="275"/>
      <c r="C16" s="284"/>
      <c r="D16" s="351"/>
      <c r="E16" s="351"/>
    </row>
    <row r="17" spans="2:11" x14ac:dyDescent="0.25">
      <c r="B17" s="274" t="s">
        <v>76</v>
      </c>
      <c r="C17" s="283" t="s">
        <v>77</v>
      </c>
      <c r="D17" s="350">
        <v>1050</v>
      </c>
      <c r="E17" s="350" t="s">
        <v>248</v>
      </c>
      <c r="G17" s="231">
        <v>2019</v>
      </c>
      <c r="H17" s="244" t="s">
        <v>106</v>
      </c>
      <c r="I17" s="236" t="s">
        <v>107</v>
      </c>
      <c r="J17" s="236" t="s">
        <v>108</v>
      </c>
      <c r="K17" s="236" t="s">
        <v>109</v>
      </c>
    </row>
    <row r="18" spans="2:11" x14ac:dyDescent="0.25">
      <c r="B18" s="275"/>
      <c r="C18" s="284"/>
      <c r="D18" s="351"/>
      <c r="E18" s="351"/>
      <c r="G18" s="231"/>
      <c r="H18" s="244"/>
      <c r="I18" s="237"/>
      <c r="J18" s="237"/>
      <c r="K18" s="237"/>
    </row>
    <row r="19" spans="2:11" x14ac:dyDescent="0.25">
      <c r="B19" s="271" t="s">
        <v>78</v>
      </c>
      <c r="C19" s="271" t="s">
        <v>61</v>
      </c>
      <c r="D19" s="352" t="s">
        <v>79</v>
      </c>
      <c r="E19" s="352" t="s">
        <v>79</v>
      </c>
      <c r="G19" s="231"/>
      <c r="H19" s="245" t="s">
        <v>110</v>
      </c>
      <c r="I19" s="328" t="s">
        <v>111</v>
      </c>
      <c r="J19" s="329"/>
      <c r="K19" s="330"/>
    </row>
    <row r="20" spans="2:11" x14ac:dyDescent="0.25">
      <c r="B20" s="271"/>
      <c r="C20" s="271"/>
      <c r="D20" s="352"/>
      <c r="E20" s="352"/>
      <c r="G20" s="231"/>
      <c r="H20" s="245"/>
      <c r="I20" s="331"/>
      <c r="J20" s="332"/>
      <c r="K20" s="333"/>
    </row>
    <row r="21" spans="2:11" ht="15" customHeight="1" x14ac:dyDescent="0.25">
      <c r="B21" s="274" t="s">
        <v>80</v>
      </c>
      <c r="C21" s="283" t="s">
        <v>81</v>
      </c>
      <c r="D21" s="350">
        <v>35</v>
      </c>
      <c r="E21" s="350">
        <v>135.66999999999999</v>
      </c>
      <c r="G21" s="231"/>
      <c r="H21" s="247" t="s">
        <v>112</v>
      </c>
      <c r="I21" s="247"/>
      <c r="J21" s="247"/>
      <c r="K21" s="247"/>
    </row>
    <row r="22" spans="2:11" ht="15" customHeight="1" x14ac:dyDescent="0.25">
      <c r="B22" s="275"/>
      <c r="C22" s="284"/>
      <c r="D22" s="351"/>
      <c r="E22" s="351"/>
      <c r="G22" s="231"/>
      <c r="H22" s="247"/>
      <c r="I22" s="247"/>
      <c r="J22" s="247"/>
      <c r="K22" s="247"/>
    </row>
    <row r="23" spans="2:11" x14ac:dyDescent="0.25">
      <c r="B23" s="274" t="s">
        <v>82</v>
      </c>
      <c r="C23" s="283" t="s">
        <v>83</v>
      </c>
      <c r="D23" s="350">
        <v>35</v>
      </c>
      <c r="E23" s="350">
        <v>135.66999999999999</v>
      </c>
      <c r="G23" s="231"/>
      <c r="H23" s="247"/>
      <c r="I23" s="247"/>
      <c r="J23" s="247"/>
      <c r="K23" s="247"/>
    </row>
    <row r="24" spans="2:11" x14ac:dyDescent="0.25">
      <c r="B24" s="275"/>
      <c r="C24" s="284"/>
      <c r="D24" s="351"/>
      <c r="E24" s="351"/>
    </row>
    <row r="25" spans="2:11" x14ac:dyDescent="0.25">
      <c r="B25" s="274" t="s">
        <v>84</v>
      </c>
      <c r="C25" s="283" t="s">
        <v>85</v>
      </c>
      <c r="D25" s="350">
        <v>35</v>
      </c>
      <c r="E25" s="350">
        <v>135.66999999999999</v>
      </c>
    </row>
    <row r="26" spans="2:11" x14ac:dyDescent="0.25">
      <c r="B26" s="275"/>
      <c r="C26" s="284"/>
      <c r="D26" s="351"/>
      <c r="E26" s="351"/>
    </row>
    <row r="27" spans="2:11" ht="15" customHeight="1" x14ac:dyDescent="0.25">
      <c r="B27" s="274" t="s">
        <v>86</v>
      </c>
      <c r="C27" s="283" t="s">
        <v>87</v>
      </c>
      <c r="D27" s="350">
        <v>35</v>
      </c>
      <c r="E27" s="350">
        <v>135.66999999999999</v>
      </c>
    </row>
    <row r="28" spans="2:11" x14ac:dyDescent="0.25">
      <c r="B28" s="275"/>
      <c r="C28" s="284"/>
      <c r="D28" s="351"/>
      <c r="E28" s="351"/>
    </row>
    <row r="29" spans="2:11" x14ac:dyDescent="0.25">
      <c r="B29" s="62"/>
      <c r="C29" s="62"/>
      <c r="D29" s="63"/>
      <c r="E29" s="63"/>
    </row>
    <row r="31" spans="2:11" ht="24.75" customHeight="1" x14ac:dyDescent="0.25">
      <c r="B31" s="281" t="s">
        <v>88</v>
      </c>
      <c r="C31" s="281"/>
      <c r="D31" s="281"/>
      <c r="E31" s="281"/>
      <c r="F31" s="281"/>
    </row>
    <row r="32" spans="2:11" x14ac:dyDescent="0.25">
      <c r="B32" s="220">
        <v>2019</v>
      </c>
      <c r="C32" s="271" t="s">
        <v>89</v>
      </c>
      <c r="D32" s="271" t="s">
        <v>90</v>
      </c>
      <c r="E32" s="272" t="s">
        <v>91</v>
      </c>
      <c r="F32" s="271" t="s">
        <v>59</v>
      </c>
    </row>
    <row r="33" spans="2:9" x14ac:dyDescent="0.25">
      <c r="B33" s="221"/>
      <c r="C33" s="271"/>
      <c r="D33" s="271"/>
      <c r="E33" s="273"/>
      <c r="F33" s="271"/>
    </row>
    <row r="34" spans="2:9" x14ac:dyDescent="0.25">
      <c r="B34" s="221"/>
      <c r="C34" s="283" t="s">
        <v>29</v>
      </c>
      <c r="D34" s="234">
        <v>0.23599999999999999</v>
      </c>
      <c r="E34" s="234">
        <v>4.7E-2</v>
      </c>
      <c r="F34" s="234">
        <f>D34+E34</f>
        <v>0.28299999999999997</v>
      </c>
      <c r="I34" s="148"/>
    </row>
    <row r="35" spans="2:9" x14ac:dyDescent="0.25">
      <c r="B35" s="221"/>
      <c r="C35" s="284"/>
      <c r="D35" s="235"/>
      <c r="E35" s="235"/>
      <c r="F35" s="235"/>
    </row>
    <row r="36" spans="2:9" x14ac:dyDescent="0.25">
      <c r="B36" s="221"/>
      <c r="C36" s="283" t="s">
        <v>92</v>
      </c>
      <c r="D36" s="234">
        <v>0.12</v>
      </c>
      <c r="E36" s="234">
        <v>0.02</v>
      </c>
      <c r="F36" s="234">
        <f>D36+E36</f>
        <v>0.13999999999999999</v>
      </c>
    </row>
    <row r="37" spans="2:9" x14ac:dyDescent="0.25">
      <c r="B37" s="221"/>
      <c r="C37" s="284"/>
      <c r="D37" s="235"/>
      <c r="E37" s="235"/>
      <c r="F37" s="235"/>
    </row>
    <row r="38" spans="2:9" x14ac:dyDescent="0.25">
      <c r="B38" s="221"/>
      <c r="C38" s="283" t="s">
        <v>93</v>
      </c>
      <c r="D38" s="234">
        <v>0.23599999999999999</v>
      </c>
      <c r="E38" s="234">
        <v>4.7E-2</v>
      </c>
      <c r="F38" s="234">
        <f>D38+E38</f>
        <v>0.28299999999999997</v>
      </c>
    </row>
    <row r="39" spans="2:9" x14ac:dyDescent="0.25">
      <c r="B39" s="221"/>
      <c r="C39" s="284"/>
      <c r="D39" s="235"/>
      <c r="E39" s="235"/>
      <c r="F39" s="235"/>
    </row>
    <row r="40" spans="2:9" x14ac:dyDescent="0.25">
      <c r="B40" s="221"/>
      <c r="C40" s="283" t="s">
        <v>94</v>
      </c>
      <c r="D40" s="234">
        <v>5.5E-2</v>
      </c>
      <c r="E40" s="234">
        <v>1.55E-2</v>
      </c>
      <c r="F40" s="234">
        <f>D40+E40</f>
        <v>7.0500000000000007E-2</v>
      </c>
    </row>
    <row r="41" spans="2:9" x14ac:dyDescent="0.25">
      <c r="B41" s="221"/>
      <c r="C41" s="284"/>
      <c r="D41" s="235"/>
      <c r="E41" s="235"/>
      <c r="F41" s="235"/>
    </row>
    <row r="42" spans="2:9" x14ac:dyDescent="0.25">
      <c r="B42" s="221"/>
      <c r="C42" s="283" t="s">
        <v>95</v>
      </c>
      <c r="D42" s="234">
        <v>6.7000000000000004E-2</v>
      </c>
      <c r="E42" s="234">
        <v>1.6E-2</v>
      </c>
      <c r="F42" s="234">
        <f>D42+E42</f>
        <v>8.3000000000000004E-2</v>
      </c>
    </row>
    <row r="43" spans="2:9" x14ac:dyDescent="0.25">
      <c r="B43" s="221"/>
      <c r="C43" s="284"/>
      <c r="D43" s="235"/>
      <c r="E43" s="235"/>
      <c r="F43" s="235"/>
    </row>
    <row r="44" spans="2:9" x14ac:dyDescent="0.25">
      <c r="B44" s="221"/>
      <c r="C44" s="283" t="s">
        <v>55</v>
      </c>
      <c r="D44" s="234">
        <v>2E-3</v>
      </c>
      <c r="E44" s="234"/>
      <c r="F44" s="234">
        <f>D44+E44</f>
        <v>2E-3</v>
      </c>
    </row>
    <row r="45" spans="2:9" x14ac:dyDescent="0.25">
      <c r="B45" s="221"/>
      <c r="C45" s="284"/>
      <c r="D45" s="235"/>
      <c r="E45" s="235"/>
      <c r="F45" s="235"/>
    </row>
    <row r="46" spans="2:9" ht="20.100000000000001" customHeight="1" x14ac:dyDescent="0.25">
      <c r="B46" s="221"/>
      <c r="C46" s="283" t="s">
        <v>96</v>
      </c>
      <c r="D46" s="234">
        <v>6.0000000000000001E-3</v>
      </c>
      <c r="E46" s="234">
        <v>1E-3</v>
      </c>
      <c r="F46" s="234">
        <f>D46+E46</f>
        <v>7.0000000000000001E-3</v>
      </c>
    </row>
    <row r="47" spans="2:9" ht="20.100000000000001" customHeight="1" x14ac:dyDescent="0.25">
      <c r="B47" s="222"/>
      <c r="C47" s="284"/>
      <c r="D47" s="235"/>
      <c r="E47" s="235"/>
      <c r="F47" s="235"/>
    </row>
    <row r="50" spans="2:9" ht="28.5" customHeight="1" x14ac:dyDescent="0.25">
      <c r="B50" s="281" t="s">
        <v>251</v>
      </c>
      <c r="C50" s="281"/>
      <c r="D50" s="281"/>
      <c r="E50" s="281"/>
      <c r="F50" s="281"/>
    </row>
    <row r="51" spans="2:9" ht="20.100000000000001" customHeight="1" x14ac:dyDescent="0.25">
      <c r="B51" s="291"/>
      <c r="C51" s="291"/>
      <c r="D51" s="64" t="s">
        <v>114</v>
      </c>
      <c r="E51" s="64" t="s">
        <v>115</v>
      </c>
      <c r="F51" s="64" t="s">
        <v>50</v>
      </c>
      <c r="H51" s="268"/>
      <c r="I51" s="268"/>
    </row>
    <row r="52" spans="2:9" ht="27.75" customHeight="1" x14ac:dyDescent="0.25">
      <c r="B52" s="65"/>
      <c r="C52" s="66" t="s">
        <v>135</v>
      </c>
      <c r="D52" s="67">
        <v>6.4999999999999997E-3</v>
      </c>
      <c r="E52" s="67">
        <v>3.5000000000000001E-3</v>
      </c>
      <c r="F52" s="68">
        <f>D52+E52</f>
        <v>0.01</v>
      </c>
    </row>
    <row r="53" spans="2:9" ht="24.75" customHeight="1" x14ac:dyDescent="0.25">
      <c r="B53" s="65"/>
      <c r="C53" s="69" t="s">
        <v>137</v>
      </c>
      <c r="D53" s="67">
        <v>0.01</v>
      </c>
      <c r="E53" s="67">
        <v>0.01</v>
      </c>
      <c r="F53" s="68">
        <f>D53+E53</f>
        <v>0.02</v>
      </c>
    </row>
    <row r="54" spans="2:9" ht="24.75" customHeight="1" x14ac:dyDescent="0.25">
      <c r="B54" s="65"/>
      <c r="C54" s="71" t="s">
        <v>252</v>
      </c>
      <c r="D54" s="92">
        <v>0.01</v>
      </c>
      <c r="E54" s="92">
        <v>0.01</v>
      </c>
      <c r="F54" s="68">
        <f>D54+E54</f>
        <v>0.02</v>
      </c>
    </row>
    <row r="55" spans="2:9" x14ac:dyDescent="0.25">
      <c r="B55" s="225"/>
      <c r="C55" s="283" t="s">
        <v>253</v>
      </c>
      <c r="D55" s="285">
        <v>8.0000000000000002E-3</v>
      </c>
      <c r="E55" s="285">
        <v>7.0000000000000001E-3</v>
      </c>
      <c r="F55" s="234">
        <f>D55+E55</f>
        <v>1.4999999999999999E-2</v>
      </c>
    </row>
    <row r="56" spans="2:9" x14ac:dyDescent="0.25">
      <c r="B56" s="225"/>
      <c r="C56" s="284"/>
      <c r="D56" s="285"/>
      <c r="E56" s="285"/>
      <c r="F56" s="235"/>
    </row>
    <row r="57" spans="2:9" ht="31.5" customHeight="1" x14ac:dyDescent="0.25">
      <c r="B57" s="73" t="s">
        <v>152</v>
      </c>
      <c r="C57" s="305" t="s">
        <v>153</v>
      </c>
      <c r="D57" s="306"/>
      <c r="E57" s="306"/>
      <c r="F57" s="307"/>
    </row>
    <row r="58" spans="2:9" ht="30.75" customHeight="1" x14ac:dyDescent="0.25">
      <c r="B58" s="72" t="s">
        <v>117</v>
      </c>
      <c r="C58" s="282" t="s">
        <v>118</v>
      </c>
      <c r="D58" s="282"/>
      <c r="E58" s="282"/>
      <c r="F58" s="282"/>
    </row>
    <row r="59" spans="2:9" ht="28.5" customHeight="1" x14ac:dyDescent="0.25">
      <c r="B59" s="72" t="s">
        <v>117</v>
      </c>
      <c r="C59" s="282" t="s">
        <v>119</v>
      </c>
      <c r="D59" s="282"/>
      <c r="E59" s="282"/>
      <c r="F59" s="282"/>
    </row>
  </sheetData>
  <mergeCells count="121">
    <mergeCell ref="G5:J6"/>
    <mergeCell ref="K5:L6"/>
    <mergeCell ref="B2:E2"/>
    <mergeCell ref="G2:L2"/>
    <mergeCell ref="B3:B4"/>
    <mergeCell ref="C3:C4"/>
    <mergeCell ref="D3:D4"/>
    <mergeCell ref="E3:E4"/>
    <mergeCell ref="G3:J4"/>
    <mergeCell ref="K3:L4"/>
    <mergeCell ref="B7:B8"/>
    <mergeCell ref="C7:C8"/>
    <mergeCell ref="D7:D8"/>
    <mergeCell ref="E7:E8"/>
    <mergeCell ref="B9:B10"/>
    <mergeCell ref="C9:C10"/>
    <mergeCell ref="D9:D10"/>
    <mergeCell ref="E9:E10"/>
    <mergeCell ref="B5:B6"/>
    <mergeCell ref="C5:C6"/>
    <mergeCell ref="D5:D6"/>
    <mergeCell ref="E5:E6"/>
    <mergeCell ref="J11:J12"/>
    <mergeCell ref="B13:B14"/>
    <mergeCell ref="C13:C14"/>
    <mergeCell ref="D13:D14"/>
    <mergeCell ref="E13:E14"/>
    <mergeCell ref="H13:H14"/>
    <mergeCell ref="I13:I14"/>
    <mergeCell ref="J13:J14"/>
    <mergeCell ref="G9:G14"/>
    <mergeCell ref="H9:H10"/>
    <mergeCell ref="I9:I10"/>
    <mergeCell ref="J9:J10"/>
    <mergeCell ref="B11:B12"/>
    <mergeCell ref="C11:C12"/>
    <mergeCell ref="D11:D12"/>
    <mergeCell ref="E11:E12"/>
    <mergeCell ref="H11:H12"/>
    <mergeCell ref="I11:I12"/>
    <mergeCell ref="C19:C20"/>
    <mergeCell ref="D19:D20"/>
    <mergeCell ref="E19:E20"/>
    <mergeCell ref="H19:H20"/>
    <mergeCell ref="B15:B16"/>
    <mergeCell ref="C15:C16"/>
    <mergeCell ref="D15:D16"/>
    <mergeCell ref="E15:E16"/>
    <mergeCell ref="B17:B18"/>
    <mergeCell ref="C17:C18"/>
    <mergeCell ref="D17:D18"/>
    <mergeCell ref="E17:E18"/>
    <mergeCell ref="B25:B26"/>
    <mergeCell ref="C25:C26"/>
    <mergeCell ref="D25:D26"/>
    <mergeCell ref="E25:E26"/>
    <mergeCell ref="B27:B28"/>
    <mergeCell ref="C27:C28"/>
    <mergeCell ref="D27:D28"/>
    <mergeCell ref="E27:E28"/>
    <mergeCell ref="I19:K20"/>
    <mergeCell ref="B21:B22"/>
    <mergeCell ref="C21:C22"/>
    <mergeCell ref="D21:D22"/>
    <mergeCell ref="E21:E22"/>
    <mergeCell ref="H21:K23"/>
    <mergeCell ref="B23:B24"/>
    <mergeCell ref="C23:C24"/>
    <mergeCell ref="D23:D24"/>
    <mergeCell ref="E23:E24"/>
    <mergeCell ref="G17:G23"/>
    <mergeCell ref="H17:H18"/>
    <mergeCell ref="I17:I18"/>
    <mergeCell ref="J17:J18"/>
    <mergeCell ref="K17:K18"/>
    <mergeCell ref="B19:B20"/>
    <mergeCell ref="C36:C37"/>
    <mergeCell ref="D36:D37"/>
    <mergeCell ref="E36:E37"/>
    <mergeCell ref="F36:F37"/>
    <mergeCell ref="C38:C39"/>
    <mergeCell ref="D38:D39"/>
    <mergeCell ref="E38:E39"/>
    <mergeCell ref="F38:F39"/>
    <mergeCell ref="B31:F31"/>
    <mergeCell ref="B32:B47"/>
    <mergeCell ref="C32:C33"/>
    <mergeCell ref="D32:D33"/>
    <mergeCell ref="E32:E33"/>
    <mergeCell ref="F32:F33"/>
    <mergeCell ref="C34:C35"/>
    <mergeCell ref="D34:D35"/>
    <mergeCell ref="E34:E35"/>
    <mergeCell ref="F34:F35"/>
    <mergeCell ref="C44:C45"/>
    <mergeCell ref="D44:D45"/>
    <mergeCell ref="E44:E45"/>
    <mergeCell ref="F44:F45"/>
    <mergeCell ref="C46:C47"/>
    <mergeCell ref="D46:D47"/>
    <mergeCell ref="E46:E47"/>
    <mergeCell ref="F46:F47"/>
    <mergeCell ref="C40:C41"/>
    <mergeCell ref="D40:D41"/>
    <mergeCell ref="E40:E41"/>
    <mergeCell ref="F40:F41"/>
    <mergeCell ref="C42:C43"/>
    <mergeCell ref="D42:D43"/>
    <mergeCell ref="E42:E43"/>
    <mergeCell ref="F42:F43"/>
    <mergeCell ref="C57:F57"/>
    <mergeCell ref="C58:F58"/>
    <mergeCell ref="C59:F59"/>
    <mergeCell ref="B50:F50"/>
    <mergeCell ref="B51:C51"/>
    <mergeCell ref="H51:I51"/>
    <mergeCell ref="B55:B56"/>
    <mergeCell ref="C55:C56"/>
    <mergeCell ref="D55:D56"/>
    <mergeCell ref="E55:E56"/>
    <mergeCell ref="F55:F5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G80"/>
  <sheetViews>
    <sheetView topLeftCell="A59" zoomScaleNormal="100" workbookViewId="0">
      <selection activeCell="J44" sqref="J44"/>
    </sheetView>
  </sheetViews>
  <sheetFormatPr baseColWidth="10" defaultRowHeight="15" x14ac:dyDescent="0.25"/>
  <cols>
    <col min="1" max="1" width="1.140625" customWidth="1"/>
    <col min="2" max="2" width="11.5703125" style="59" customWidth="1"/>
    <col min="3" max="3" width="10" style="60" customWidth="1"/>
    <col min="4" max="4" width="11.42578125" style="59" customWidth="1"/>
    <col min="5" max="5" width="11.42578125" style="60" customWidth="1"/>
    <col min="6" max="6" width="13.7109375" style="59" customWidth="1"/>
    <col min="7" max="7" width="11.42578125" style="60" customWidth="1"/>
    <col min="8" max="8" width="12" style="59" bestFit="1" customWidth="1"/>
    <col min="9" max="9" width="12" style="60" customWidth="1"/>
    <col min="10" max="10" width="3.42578125" customWidth="1"/>
    <col min="11" max="11" width="22.85546875" customWidth="1"/>
    <col min="13" max="13" width="13.28515625" customWidth="1"/>
    <col min="14" max="14" width="13.7109375" customWidth="1"/>
  </cols>
  <sheetData>
    <row r="1" spans="2:33" ht="15.75" thickBot="1" x14ac:dyDescent="0.3"/>
    <row r="2" spans="2:33" ht="15" customHeight="1" x14ac:dyDescent="0.25">
      <c r="B2" s="359" t="s">
        <v>264</v>
      </c>
      <c r="C2" s="360"/>
      <c r="D2" s="360"/>
      <c r="E2" s="360"/>
      <c r="F2" s="360"/>
      <c r="G2" s="360"/>
      <c r="H2" s="360"/>
      <c r="I2" s="361"/>
    </row>
    <row r="3" spans="2:33" x14ac:dyDescent="0.25">
      <c r="B3" s="362"/>
      <c r="C3" s="363"/>
      <c r="D3" s="363"/>
      <c r="E3" s="363"/>
      <c r="F3" s="363"/>
      <c r="G3" s="363"/>
      <c r="H3" s="363"/>
      <c r="I3" s="364"/>
    </row>
    <row r="4" spans="2:33" x14ac:dyDescent="0.25">
      <c r="B4" s="362"/>
      <c r="C4" s="363"/>
      <c r="D4" s="363"/>
      <c r="E4" s="363"/>
      <c r="F4" s="363"/>
      <c r="G4" s="363"/>
      <c r="H4" s="363"/>
      <c r="I4" s="364"/>
    </row>
    <row r="5" spans="2:33" x14ac:dyDescent="0.25">
      <c r="B5" s="362"/>
      <c r="C5" s="363"/>
      <c r="D5" s="363"/>
      <c r="E5" s="363"/>
      <c r="F5" s="363"/>
      <c r="G5" s="363"/>
      <c r="H5" s="363"/>
      <c r="I5" s="364"/>
      <c r="K5" s="368" t="s">
        <v>169</v>
      </c>
      <c r="L5" s="369"/>
      <c r="M5" s="369"/>
      <c r="N5" s="370"/>
      <c r="O5" s="368" t="s">
        <v>236</v>
      </c>
      <c r="P5" s="369"/>
      <c r="Q5" s="369"/>
      <c r="R5" s="370"/>
    </row>
    <row r="6" spans="2:33" x14ac:dyDescent="0.25">
      <c r="B6" s="362"/>
      <c r="C6" s="363"/>
      <c r="D6" s="363"/>
      <c r="E6" s="363"/>
      <c r="F6" s="363"/>
      <c r="G6" s="363"/>
      <c r="H6" s="363"/>
      <c r="I6" s="364"/>
      <c r="K6" s="97" t="s">
        <v>170</v>
      </c>
      <c r="L6" s="97" t="s">
        <v>171</v>
      </c>
      <c r="M6" s="97" t="s">
        <v>172</v>
      </c>
      <c r="N6" s="97" t="s">
        <v>173</v>
      </c>
      <c r="O6" s="97" t="s">
        <v>170</v>
      </c>
      <c r="P6" s="97"/>
      <c r="Q6" s="97"/>
      <c r="R6" s="97" t="s">
        <v>238</v>
      </c>
    </row>
    <row r="7" spans="2:33" x14ac:dyDescent="0.25">
      <c r="B7" s="362"/>
      <c r="C7" s="363"/>
      <c r="D7" s="363"/>
      <c r="E7" s="363"/>
      <c r="F7" s="363"/>
      <c r="G7" s="363"/>
      <c r="H7" s="363"/>
      <c r="I7" s="364"/>
      <c r="K7" s="98">
        <v>1800</v>
      </c>
      <c r="L7" s="97">
        <v>2</v>
      </c>
      <c r="M7" s="98">
        <v>3600</v>
      </c>
      <c r="N7" s="98">
        <v>300</v>
      </c>
      <c r="O7" s="98"/>
      <c r="P7" s="97"/>
      <c r="Q7" s="98"/>
      <c r="R7" s="98"/>
    </row>
    <row r="8" spans="2:33" x14ac:dyDescent="0.25">
      <c r="B8" s="362"/>
      <c r="C8" s="363"/>
      <c r="D8" s="363"/>
      <c r="E8" s="363"/>
      <c r="F8" s="363"/>
      <c r="G8" s="363"/>
      <c r="H8" s="363"/>
      <c r="I8" s="364"/>
      <c r="K8" s="371" t="s">
        <v>181</v>
      </c>
      <c r="L8" s="371"/>
      <c r="M8" s="371"/>
      <c r="N8" s="371"/>
      <c r="O8" s="371" t="s">
        <v>182</v>
      </c>
      <c r="P8" s="371"/>
      <c r="Q8" s="371"/>
      <c r="R8" s="371"/>
    </row>
    <row r="9" spans="2:33" x14ac:dyDescent="0.25">
      <c r="B9" s="362"/>
      <c r="C9" s="363"/>
      <c r="D9" s="363"/>
      <c r="E9" s="363"/>
      <c r="F9" s="363"/>
      <c r="G9" s="363"/>
      <c r="H9" s="363"/>
      <c r="I9" s="364"/>
      <c r="K9" s="98" t="s">
        <v>241</v>
      </c>
      <c r="L9" s="97" t="s">
        <v>240</v>
      </c>
      <c r="M9" s="98" t="s">
        <v>259</v>
      </c>
      <c r="N9" s="98" t="s">
        <v>260</v>
      </c>
      <c r="O9" s="98" t="s">
        <v>241</v>
      </c>
      <c r="P9" s="97" t="s">
        <v>261</v>
      </c>
      <c r="Q9" s="98" t="s">
        <v>242</v>
      </c>
      <c r="R9" s="98" t="s">
        <v>259</v>
      </c>
    </row>
    <row r="10" spans="2:33" ht="15.75" thickBot="1" x14ac:dyDescent="0.3">
      <c r="B10" s="365"/>
      <c r="C10" s="366"/>
      <c r="D10" s="366"/>
      <c r="E10" s="366"/>
      <c r="F10" s="366"/>
      <c r="G10" s="366"/>
      <c r="H10" s="366"/>
      <c r="I10" s="367"/>
      <c r="K10" s="98"/>
      <c r="L10" s="97"/>
      <c r="M10" s="98"/>
      <c r="N10" s="98"/>
      <c r="O10" s="98"/>
      <c r="P10" s="97"/>
      <c r="Q10" s="98"/>
      <c r="R10" s="98"/>
    </row>
    <row r="11" spans="2:33" x14ac:dyDescent="0.25">
      <c r="B11" s="1" t="s">
        <v>0</v>
      </c>
      <c r="C11" s="383" t="s">
        <v>266</v>
      </c>
      <c r="D11" s="383"/>
      <c r="E11" s="383"/>
      <c r="F11" s="2" t="s">
        <v>1</v>
      </c>
      <c r="G11" s="383" t="s">
        <v>267</v>
      </c>
      <c r="H11" s="383"/>
      <c r="I11" s="384"/>
    </row>
    <row r="12" spans="2:33" ht="15" customHeight="1" thickBot="1" x14ac:dyDescent="0.3">
      <c r="B12" s="3" t="s">
        <v>2</v>
      </c>
      <c r="C12" s="357"/>
      <c r="D12" s="357"/>
      <c r="E12" s="357"/>
      <c r="F12" s="4" t="s">
        <v>3</v>
      </c>
      <c r="G12" s="357"/>
      <c r="H12" s="357"/>
      <c r="I12" s="358"/>
      <c r="U12" s="96"/>
      <c r="V12" s="96"/>
    </row>
    <row r="13" spans="2:33" x14ac:dyDescent="0.25">
      <c r="B13" s="3" t="s">
        <v>4</v>
      </c>
      <c r="C13" s="357"/>
      <c r="D13" s="357"/>
      <c r="E13" s="357"/>
      <c r="F13" s="4" t="s">
        <v>5</v>
      </c>
      <c r="G13" s="357"/>
      <c r="H13" s="357"/>
      <c r="I13" s="358"/>
      <c r="K13" s="99" t="s">
        <v>174</v>
      </c>
      <c r="L13" s="100"/>
      <c r="M13" s="100"/>
      <c r="N13" s="100"/>
      <c r="O13" s="100"/>
      <c r="P13" s="100"/>
      <c r="Q13" s="101"/>
      <c r="U13" s="96"/>
      <c r="V13" s="96"/>
      <c r="Y13" s="96"/>
      <c r="Z13" s="96"/>
      <c r="AA13" s="96"/>
      <c r="AB13" s="96"/>
      <c r="AC13" s="96"/>
      <c r="AD13" s="96"/>
      <c r="AE13" s="96"/>
      <c r="AF13" s="96"/>
      <c r="AG13" s="96"/>
    </row>
    <row r="14" spans="2:33" x14ac:dyDescent="0.25">
      <c r="B14" s="3" t="s">
        <v>6</v>
      </c>
      <c r="C14" s="357"/>
      <c r="D14" s="357"/>
      <c r="E14" s="357"/>
      <c r="F14" s="5" t="s">
        <v>7</v>
      </c>
      <c r="G14" s="357" t="s">
        <v>268</v>
      </c>
      <c r="H14" s="357"/>
      <c r="I14" s="358"/>
      <c r="K14" s="102" t="s">
        <v>175</v>
      </c>
      <c r="Q14" s="103"/>
    </row>
    <row r="15" spans="2:33" ht="15.75" thickBot="1" x14ac:dyDescent="0.3">
      <c r="B15" s="113"/>
      <c r="C15" s="115"/>
      <c r="D15" s="115"/>
      <c r="E15" s="115"/>
      <c r="F15" s="6" t="s">
        <v>8</v>
      </c>
      <c r="G15" s="116"/>
      <c r="H15" s="117">
        <v>1</v>
      </c>
      <c r="I15" s="114"/>
      <c r="K15" s="102" t="s">
        <v>176</v>
      </c>
      <c r="Q15" s="103"/>
    </row>
    <row r="16" spans="2:33" ht="15.75" thickBot="1" x14ac:dyDescent="0.3">
      <c r="B16" s="7"/>
      <c r="C16" s="8"/>
      <c r="D16" s="7"/>
      <c r="E16" s="8"/>
      <c r="F16" s="7"/>
      <c r="G16" s="8"/>
      <c r="H16" s="7"/>
      <c r="I16" s="8"/>
      <c r="K16" s="165"/>
      <c r="L16" s="166" t="s">
        <v>177</v>
      </c>
      <c r="Q16" s="103"/>
    </row>
    <row r="17" spans="2:17" x14ac:dyDescent="0.25">
      <c r="B17" s="9" t="s">
        <v>9</v>
      </c>
      <c r="C17" s="10"/>
      <c r="D17" s="382" t="s">
        <v>271</v>
      </c>
      <c r="E17" s="382"/>
      <c r="F17" s="382"/>
      <c r="G17" s="382"/>
      <c r="H17" s="11" t="s">
        <v>10</v>
      </c>
      <c r="I17" s="168">
        <v>31</v>
      </c>
      <c r="K17" s="165"/>
      <c r="L17" s="166" t="s">
        <v>178</v>
      </c>
      <c r="Q17" s="103"/>
    </row>
    <row r="18" spans="2:17" x14ac:dyDescent="0.25">
      <c r="B18" s="12" t="s">
        <v>11</v>
      </c>
      <c r="C18" s="13"/>
      <c r="D18" s="14"/>
      <c r="E18" s="13"/>
      <c r="F18" s="14"/>
      <c r="G18" s="13"/>
      <c r="H18" s="14"/>
      <c r="I18" s="15" t="s">
        <v>12</v>
      </c>
      <c r="K18" s="165"/>
      <c r="L18" s="166" t="s">
        <v>179</v>
      </c>
      <c r="Q18" s="103"/>
    </row>
    <row r="19" spans="2:17" ht="15.75" thickBot="1" x14ac:dyDescent="0.3">
      <c r="B19" s="95" t="s">
        <v>13</v>
      </c>
      <c r="C19" s="17"/>
      <c r="D19" s="7"/>
      <c r="E19" s="8"/>
      <c r="F19" s="7"/>
      <c r="G19" s="8"/>
      <c r="H19" s="7"/>
      <c r="I19" s="18"/>
      <c r="K19" s="107"/>
      <c r="L19" s="111" t="s">
        <v>180</v>
      </c>
      <c r="M19" s="104"/>
      <c r="N19" s="104"/>
      <c r="O19" s="104"/>
      <c r="P19" s="104"/>
      <c r="Q19" s="105"/>
    </row>
    <row r="20" spans="2:17" x14ac:dyDescent="0.25">
      <c r="B20" s="16" t="s">
        <v>14</v>
      </c>
      <c r="C20" s="212"/>
      <c r="D20" s="20"/>
      <c r="E20" s="21"/>
      <c r="F20" s="20"/>
      <c r="G20" s="21"/>
      <c r="H20" s="179">
        <v>1700</v>
      </c>
      <c r="I20" s="18"/>
    </row>
    <row r="21" spans="2:17" x14ac:dyDescent="0.25">
      <c r="B21" s="16" t="s">
        <v>15</v>
      </c>
      <c r="C21" s="17"/>
      <c r="D21" s="7"/>
      <c r="E21" s="8"/>
      <c r="F21" s="7"/>
      <c r="G21" s="8"/>
      <c r="H21" s="173"/>
      <c r="I21" s="18"/>
    </row>
    <row r="22" spans="2:17" x14ac:dyDescent="0.25">
      <c r="B22" s="169" t="s">
        <v>269</v>
      </c>
      <c r="C22" s="170"/>
      <c r="D22" s="170"/>
      <c r="E22" s="171"/>
      <c r="F22" s="172"/>
      <c r="G22" s="171"/>
      <c r="H22" s="173">
        <v>90</v>
      </c>
      <c r="I22" s="18"/>
    </row>
    <row r="23" spans="2:17" x14ac:dyDescent="0.25">
      <c r="B23" s="174" t="s">
        <v>270</v>
      </c>
      <c r="C23" s="175"/>
      <c r="D23" s="175"/>
      <c r="E23" s="176"/>
      <c r="F23" s="177"/>
      <c r="G23" s="176"/>
      <c r="H23" s="178">
        <v>100</v>
      </c>
      <c r="I23" s="18"/>
    </row>
    <row r="24" spans="2:17" x14ac:dyDescent="0.25">
      <c r="B24" s="169"/>
      <c r="C24" s="23"/>
      <c r="D24" s="23"/>
      <c r="E24" s="24"/>
      <c r="F24" s="25"/>
      <c r="G24" s="24"/>
      <c r="H24" s="173"/>
      <c r="I24" s="18"/>
    </row>
    <row r="25" spans="2:17" x14ac:dyDescent="0.25">
      <c r="B25" s="16" t="s">
        <v>16</v>
      </c>
      <c r="C25" s="17"/>
      <c r="D25" s="213"/>
      <c r="E25" s="24"/>
      <c r="F25" s="25"/>
      <c r="G25" s="24"/>
      <c r="H25" s="178">
        <v>150</v>
      </c>
      <c r="I25" s="18"/>
    </row>
    <row r="26" spans="2:17" x14ac:dyDescent="0.25">
      <c r="B26" s="16" t="s">
        <v>17</v>
      </c>
      <c r="C26" s="17"/>
      <c r="D26" s="25"/>
      <c r="E26" s="24"/>
      <c r="F26" s="25"/>
      <c r="G26" s="24"/>
      <c r="H26" s="178"/>
      <c r="I26" s="18"/>
    </row>
    <row r="27" spans="2:17" x14ac:dyDescent="0.25">
      <c r="B27" s="16" t="s">
        <v>18</v>
      </c>
      <c r="C27" s="17"/>
      <c r="D27" s="7"/>
      <c r="E27" s="24"/>
      <c r="F27" s="25"/>
      <c r="G27" s="24"/>
      <c r="H27" s="178"/>
      <c r="I27" s="18"/>
    </row>
    <row r="28" spans="2:17" x14ac:dyDescent="0.25">
      <c r="B28" s="16" t="s">
        <v>19</v>
      </c>
      <c r="C28" s="17"/>
      <c r="D28" s="20"/>
      <c r="E28" s="24"/>
      <c r="F28" s="25"/>
      <c r="G28" s="24"/>
      <c r="H28" s="178"/>
      <c r="I28" s="18"/>
    </row>
    <row r="29" spans="2:17" x14ac:dyDescent="0.25">
      <c r="B29" s="95" t="s">
        <v>20</v>
      </c>
      <c r="C29" s="17"/>
      <c r="D29" s="7"/>
      <c r="E29" s="8"/>
      <c r="F29" s="7"/>
      <c r="G29" s="8"/>
      <c r="H29" s="173"/>
      <c r="I29" s="18"/>
    </row>
    <row r="30" spans="2:17" x14ac:dyDescent="0.25">
      <c r="B30" s="16" t="s">
        <v>21</v>
      </c>
      <c r="C30" s="17"/>
      <c r="D30" s="7"/>
      <c r="E30" s="8"/>
      <c r="F30" s="7"/>
      <c r="G30" s="8"/>
      <c r="H30" s="173"/>
      <c r="I30" s="18"/>
    </row>
    <row r="31" spans="2:17" x14ac:dyDescent="0.25">
      <c r="B31" s="169"/>
      <c r="C31" s="23"/>
      <c r="D31" s="23"/>
      <c r="E31" s="21"/>
      <c r="F31" s="20"/>
      <c r="G31" s="21"/>
      <c r="H31" s="179"/>
      <c r="I31" s="18"/>
    </row>
    <row r="32" spans="2:17" x14ac:dyDescent="0.25">
      <c r="B32" s="169"/>
      <c r="C32" s="23"/>
      <c r="D32" s="23"/>
      <c r="E32" s="21"/>
      <c r="F32" s="20"/>
      <c r="G32" s="21"/>
      <c r="H32" s="179"/>
      <c r="I32" s="18"/>
    </row>
    <row r="33" spans="2:9" x14ac:dyDescent="0.25">
      <c r="B33" s="16" t="s">
        <v>22</v>
      </c>
      <c r="C33" s="17"/>
      <c r="D33" s="7"/>
      <c r="E33" s="8"/>
      <c r="F33" s="7"/>
      <c r="G33" s="8"/>
      <c r="H33" s="189"/>
      <c r="I33" s="18"/>
    </row>
    <row r="34" spans="2:9" x14ac:dyDescent="0.25">
      <c r="B34" s="169"/>
      <c r="C34" s="23"/>
      <c r="D34" s="23"/>
      <c r="E34" s="21"/>
      <c r="F34" s="20"/>
      <c r="G34" s="21"/>
      <c r="H34" s="179"/>
      <c r="I34" s="18"/>
    </row>
    <row r="35" spans="2:9" x14ac:dyDescent="0.25">
      <c r="B35" s="16" t="s">
        <v>23</v>
      </c>
      <c r="C35" s="17"/>
      <c r="D35" s="7"/>
      <c r="E35" s="8"/>
      <c r="F35" s="7"/>
      <c r="G35" s="8"/>
      <c r="H35" s="173"/>
      <c r="I35" s="18"/>
    </row>
    <row r="36" spans="2:9" x14ac:dyDescent="0.25">
      <c r="B36" s="169"/>
      <c r="C36" s="23"/>
      <c r="D36" s="27"/>
      <c r="E36" s="21"/>
      <c r="F36" s="20"/>
      <c r="G36" s="21"/>
      <c r="H36" s="179"/>
      <c r="I36" s="18"/>
    </row>
    <row r="37" spans="2:9" x14ac:dyDescent="0.25">
      <c r="B37" s="16" t="s">
        <v>24</v>
      </c>
      <c r="C37" s="17"/>
      <c r="D37" s="7"/>
      <c r="E37" s="8"/>
      <c r="F37" s="7"/>
      <c r="G37" s="8"/>
      <c r="H37" s="189"/>
      <c r="I37" s="18"/>
    </row>
    <row r="38" spans="2:9" x14ac:dyDescent="0.25">
      <c r="B38" s="169"/>
      <c r="C38" s="23"/>
      <c r="D38" s="23"/>
      <c r="E38" s="21"/>
      <c r="F38" s="20"/>
      <c r="G38" s="21"/>
      <c r="H38" s="179"/>
      <c r="I38" s="18"/>
    </row>
    <row r="39" spans="2:9" x14ac:dyDescent="0.25">
      <c r="B39" s="169"/>
      <c r="C39" s="23"/>
      <c r="D39" s="23"/>
      <c r="E39" s="21"/>
      <c r="F39" s="20"/>
      <c r="G39" s="21"/>
      <c r="H39" s="179"/>
      <c r="I39" s="18"/>
    </row>
    <row r="40" spans="2:9" ht="15.75" thickBot="1" x14ac:dyDescent="0.3">
      <c r="B40" s="12"/>
      <c r="C40" s="13"/>
      <c r="D40" s="14" t="s">
        <v>25</v>
      </c>
      <c r="E40" s="13"/>
      <c r="F40" s="28"/>
      <c r="G40" s="29"/>
      <c r="H40" s="28"/>
      <c r="I40" s="30">
        <f>SUM(H20:H39)</f>
        <v>2040</v>
      </c>
    </row>
    <row r="41" spans="2:9" x14ac:dyDescent="0.25">
      <c r="B41" s="31"/>
      <c r="C41" s="8"/>
      <c r="D41" s="7"/>
      <c r="E41" s="8"/>
      <c r="F41" s="7"/>
      <c r="G41" s="8"/>
      <c r="H41" s="7"/>
      <c r="I41" s="18"/>
    </row>
    <row r="42" spans="2:9" x14ac:dyDescent="0.25">
      <c r="B42" s="12" t="s">
        <v>26</v>
      </c>
      <c r="C42" s="13"/>
      <c r="D42" s="14"/>
      <c r="E42" s="13"/>
      <c r="F42" s="14"/>
      <c r="G42" s="13"/>
      <c r="H42" s="14"/>
      <c r="I42" s="32"/>
    </row>
    <row r="43" spans="2:9" x14ac:dyDescent="0.25">
      <c r="B43" s="12" t="s">
        <v>27</v>
      </c>
      <c r="C43" s="13"/>
      <c r="D43" s="14"/>
      <c r="E43" s="13"/>
      <c r="F43" s="14"/>
      <c r="G43" s="13"/>
      <c r="H43" s="14"/>
      <c r="I43" s="32"/>
    </row>
    <row r="44" spans="2:9" x14ac:dyDescent="0.25">
      <c r="B44" s="31"/>
      <c r="C44" s="8"/>
      <c r="D44" s="7"/>
      <c r="E44" s="8"/>
      <c r="F44" s="33" t="s">
        <v>28</v>
      </c>
      <c r="G44" s="8"/>
      <c r="H44" s="7"/>
      <c r="I44" s="18"/>
    </row>
    <row r="45" spans="2:9" x14ac:dyDescent="0.25">
      <c r="B45" s="16" t="s">
        <v>29</v>
      </c>
      <c r="C45" s="8"/>
      <c r="D45" s="179">
        <v>2190</v>
      </c>
      <c r="E45" s="34"/>
      <c r="F45" s="180">
        <v>4.7E-2</v>
      </c>
      <c r="G45" s="19"/>
      <c r="H45" s="179">
        <v>102.93</v>
      </c>
      <c r="I45" s="18"/>
    </row>
    <row r="46" spans="2:9" x14ac:dyDescent="0.25">
      <c r="B46" s="16" t="s">
        <v>30</v>
      </c>
      <c r="C46" s="21"/>
      <c r="D46" s="179">
        <v>2340</v>
      </c>
      <c r="E46" s="35"/>
      <c r="F46" s="180">
        <v>1.55E-2</v>
      </c>
      <c r="G46" s="36"/>
      <c r="H46" s="179">
        <v>36.270000000000003</v>
      </c>
      <c r="I46" s="18"/>
    </row>
    <row r="47" spans="2:9" x14ac:dyDescent="0.25">
      <c r="B47" s="16" t="s">
        <v>31</v>
      </c>
      <c r="C47" s="8"/>
      <c r="D47" s="179">
        <v>2340</v>
      </c>
      <c r="E47" s="35"/>
      <c r="F47" s="180">
        <v>1E-3</v>
      </c>
      <c r="G47" s="36"/>
      <c r="H47" s="179">
        <v>2.34</v>
      </c>
      <c r="I47" s="18"/>
    </row>
    <row r="48" spans="2:9" x14ac:dyDescent="0.25">
      <c r="B48" s="16" t="s">
        <v>32</v>
      </c>
      <c r="C48" s="8"/>
      <c r="D48" s="17"/>
      <c r="E48" s="179">
        <v>50</v>
      </c>
      <c r="F48" s="180">
        <v>4.7E-2</v>
      </c>
      <c r="G48" s="36"/>
      <c r="H48" s="179">
        <v>2.35</v>
      </c>
      <c r="I48" s="18"/>
    </row>
    <row r="49" spans="2:9" x14ac:dyDescent="0.25">
      <c r="B49" s="16" t="s">
        <v>33</v>
      </c>
      <c r="C49" s="8"/>
      <c r="D49" s="17"/>
      <c r="E49" s="179">
        <v>100</v>
      </c>
      <c r="F49" s="180">
        <v>0.02</v>
      </c>
      <c r="G49" s="36"/>
      <c r="H49" s="179">
        <v>2</v>
      </c>
      <c r="I49" s="18"/>
    </row>
    <row r="50" spans="2:9" x14ac:dyDescent="0.25">
      <c r="B50" s="12" t="s">
        <v>34</v>
      </c>
      <c r="C50" s="13"/>
      <c r="D50" s="37"/>
      <c r="E50" s="37"/>
      <c r="F50" s="194"/>
      <c r="G50" s="37"/>
      <c r="H50" s="38">
        <f>SUM(H45:H49)</f>
        <v>145.89000000000001</v>
      </c>
      <c r="I50" s="32"/>
    </row>
    <row r="51" spans="2:9" x14ac:dyDescent="0.25">
      <c r="B51" s="31"/>
      <c r="C51" s="8"/>
      <c r="D51" s="17"/>
      <c r="E51" s="17"/>
      <c r="F51" s="17"/>
      <c r="G51" s="17"/>
      <c r="H51" s="22"/>
      <c r="I51" s="18"/>
    </row>
    <row r="52" spans="2:9" x14ac:dyDescent="0.25">
      <c r="B52" s="16" t="s">
        <v>35</v>
      </c>
      <c r="C52" s="181">
        <v>2040</v>
      </c>
      <c r="D52" s="19"/>
      <c r="E52" s="19"/>
      <c r="F52" s="182">
        <v>0.14000000000000001</v>
      </c>
      <c r="G52" s="19"/>
      <c r="H52" s="179">
        <v>285.60000000000002</v>
      </c>
      <c r="I52" s="18"/>
    </row>
    <row r="53" spans="2:9" x14ac:dyDescent="0.25">
      <c r="B53" s="16" t="s">
        <v>36</v>
      </c>
      <c r="C53" s="21"/>
      <c r="D53" s="19"/>
      <c r="E53" s="19"/>
      <c r="F53" s="190"/>
      <c r="G53" s="188"/>
      <c r="H53" s="178"/>
      <c r="I53" s="18"/>
    </row>
    <row r="54" spans="2:9" x14ac:dyDescent="0.25">
      <c r="B54" s="16" t="s">
        <v>37</v>
      </c>
      <c r="C54" s="8"/>
      <c r="D54" s="7"/>
      <c r="E54" s="8"/>
      <c r="F54" s="177"/>
      <c r="G54" s="176"/>
      <c r="H54" s="178"/>
      <c r="I54" s="18"/>
    </row>
    <row r="55" spans="2:9" x14ac:dyDescent="0.25">
      <c r="B55" s="16" t="s">
        <v>38</v>
      </c>
      <c r="C55" s="8"/>
      <c r="D55" s="20"/>
      <c r="E55" s="21"/>
      <c r="F55" s="172"/>
      <c r="G55" s="171"/>
      <c r="H55" s="178"/>
      <c r="I55" s="18"/>
    </row>
    <row r="56" spans="2:9" x14ac:dyDescent="0.25">
      <c r="B56" s="31"/>
      <c r="C56" s="8"/>
      <c r="D56" s="7"/>
      <c r="E56" s="8"/>
      <c r="F56" s="7"/>
      <c r="G56" s="8"/>
      <c r="H56" s="39"/>
      <c r="I56" s="18"/>
    </row>
    <row r="57" spans="2:9" x14ac:dyDescent="0.25">
      <c r="B57" s="12"/>
      <c r="C57" s="13"/>
      <c r="D57" s="14" t="s">
        <v>39</v>
      </c>
      <c r="E57" s="13"/>
      <c r="F57" s="28"/>
      <c r="G57" s="29"/>
      <c r="H57" s="40">
        <f>H50+H52+H53+H54+H55</f>
        <v>431.49</v>
      </c>
      <c r="I57" s="32"/>
    </row>
    <row r="58" spans="2:9" ht="15.75" thickBot="1" x14ac:dyDescent="0.3">
      <c r="B58" s="12"/>
      <c r="C58" s="13"/>
      <c r="D58" s="14" t="s">
        <v>40</v>
      </c>
      <c r="E58" s="13"/>
      <c r="F58" s="14"/>
      <c r="H58" s="28"/>
      <c r="I58" s="41">
        <f>I40-H57</f>
        <v>1608.51</v>
      </c>
    </row>
    <row r="59" spans="2:9" x14ac:dyDescent="0.25">
      <c r="B59" s="31"/>
      <c r="C59" s="8"/>
      <c r="D59" s="17" t="s">
        <v>41</v>
      </c>
      <c r="E59" s="8"/>
      <c r="F59" s="7"/>
      <c r="G59" s="17" t="s">
        <v>42</v>
      </c>
      <c r="H59" s="7"/>
      <c r="I59" s="42" t="s">
        <v>43</v>
      </c>
    </row>
    <row r="60" spans="2:9" x14ac:dyDescent="0.25">
      <c r="B60" s="31"/>
      <c r="C60" s="8"/>
      <c r="D60" s="7"/>
      <c r="E60" s="8"/>
      <c r="F60" s="7"/>
      <c r="G60" s="8"/>
      <c r="H60" s="7"/>
      <c r="I60" s="18"/>
    </row>
    <row r="61" spans="2:9" ht="15.75" thickBot="1" x14ac:dyDescent="0.3">
      <c r="B61" s="43"/>
      <c r="C61" s="44"/>
      <c r="D61" s="45"/>
      <c r="E61" s="44"/>
      <c r="F61" s="45"/>
      <c r="G61" s="44"/>
      <c r="H61" s="45"/>
      <c r="I61" s="46"/>
    </row>
    <row r="62" spans="2:9" ht="15.75" thickBot="1" x14ac:dyDescent="0.3">
      <c r="B62" s="7"/>
      <c r="C62" s="8"/>
      <c r="D62" s="7"/>
      <c r="E62" s="8"/>
      <c r="F62" s="7"/>
      <c r="G62" s="8"/>
      <c r="H62" s="7"/>
      <c r="I62" s="8"/>
    </row>
    <row r="63" spans="2:9" ht="15" customHeight="1" x14ac:dyDescent="0.25">
      <c r="B63" s="372" t="s">
        <v>44</v>
      </c>
      <c r="C63" s="373"/>
      <c r="D63" s="373"/>
      <c r="E63" s="373"/>
      <c r="F63" s="373"/>
      <c r="G63" s="373"/>
      <c r="H63" s="373"/>
      <c r="I63" s="374"/>
    </row>
    <row r="64" spans="2:9" ht="15.75" thickBot="1" x14ac:dyDescent="0.3">
      <c r="B64" s="379" t="s">
        <v>45</v>
      </c>
      <c r="C64" s="380"/>
      <c r="D64" s="380"/>
      <c r="E64" s="380"/>
      <c r="F64" s="380"/>
      <c r="G64" s="380"/>
      <c r="H64" s="380"/>
      <c r="I64" s="381"/>
    </row>
    <row r="65" spans="2:9" x14ac:dyDescent="0.25">
      <c r="B65" s="16" t="s">
        <v>46</v>
      </c>
      <c r="C65" s="17"/>
      <c r="D65" s="17"/>
      <c r="E65" s="8"/>
      <c r="F65" s="7"/>
      <c r="G65" s="8"/>
      <c r="H65" s="7"/>
      <c r="I65" s="18"/>
    </row>
    <row r="66" spans="2:9" x14ac:dyDescent="0.25">
      <c r="B66" s="16" t="s">
        <v>47</v>
      </c>
      <c r="C66" s="17"/>
      <c r="D66" s="19"/>
      <c r="E66" s="183">
        <v>1890</v>
      </c>
      <c r="F66" s="47"/>
      <c r="G66" s="47"/>
      <c r="H66" s="7"/>
      <c r="I66" s="18"/>
    </row>
    <row r="67" spans="2:9" x14ac:dyDescent="0.25">
      <c r="B67" s="16" t="s">
        <v>48</v>
      </c>
      <c r="C67" s="17"/>
      <c r="D67" s="24"/>
      <c r="E67" s="184">
        <v>300</v>
      </c>
      <c r="F67" s="47"/>
      <c r="G67" s="48" t="s">
        <v>28</v>
      </c>
      <c r="H67" s="375" t="s">
        <v>49</v>
      </c>
      <c r="I67" s="376"/>
    </row>
    <row r="68" spans="2:9" x14ac:dyDescent="0.25">
      <c r="B68" s="16"/>
      <c r="C68" s="17"/>
      <c r="D68" s="49" t="s">
        <v>50</v>
      </c>
      <c r="E68" s="184">
        <f>SUM(E66:E67)</f>
        <v>2190</v>
      </c>
      <c r="F68" s="47"/>
      <c r="G68" s="187">
        <v>0.23599999999999999</v>
      </c>
      <c r="H68" s="50"/>
      <c r="I68" s="195">
        <v>516.84</v>
      </c>
    </row>
    <row r="69" spans="2:9" x14ac:dyDescent="0.25">
      <c r="B69" s="16"/>
      <c r="C69" s="17"/>
      <c r="D69" s="17"/>
      <c r="E69" s="47"/>
      <c r="F69" s="48" t="s">
        <v>51</v>
      </c>
      <c r="G69" s="193"/>
      <c r="H69" s="17"/>
      <c r="I69" s="196"/>
    </row>
    <row r="70" spans="2:9" ht="15" customHeight="1" x14ac:dyDescent="0.25">
      <c r="B70" s="377" t="s">
        <v>52</v>
      </c>
      <c r="C70" s="378"/>
      <c r="D70" s="378"/>
      <c r="E70" s="47" t="s">
        <v>53</v>
      </c>
      <c r="F70" s="183">
        <v>2340</v>
      </c>
      <c r="G70" s="185">
        <v>1.4999999999999999E-2</v>
      </c>
      <c r="H70" s="47"/>
      <c r="I70" s="195">
        <v>35.1</v>
      </c>
    </row>
    <row r="71" spans="2:9" x14ac:dyDescent="0.25">
      <c r="B71" s="377"/>
      <c r="C71" s="378"/>
      <c r="D71" s="378"/>
      <c r="E71" s="47" t="s">
        <v>30</v>
      </c>
      <c r="F71" s="183">
        <v>2340</v>
      </c>
      <c r="G71" s="186">
        <v>5.5E-2</v>
      </c>
      <c r="H71" s="51"/>
      <c r="I71" s="195">
        <v>128.69999999999999</v>
      </c>
    </row>
    <row r="72" spans="2:9" x14ac:dyDescent="0.25">
      <c r="B72" s="377"/>
      <c r="C72" s="378"/>
      <c r="D72" s="378"/>
      <c r="E72" s="8" t="s">
        <v>54</v>
      </c>
      <c r="F72" s="183">
        <v>2340</v>
      </c>
      <c r="G72" s="186">
        <v>6.0000000000000001E-3</v>
      </c>
      <c r="H72" s="51"/>
      <c r="I72" s="195">
        <v>14.04</v>
      </c>
    </row>
    <row r="73" spans="2:9" x14ac:dyDescent="0.25">
      <c r="B73" s="192"/>
      <c r="C73" s="191"/>
      <c r="D73" s="191"/>
      <c r="E73" s="8" t="s">
        <v>55</v>
      </c>
      <c r="F73" s="183">
        <v>2340</v>
      </c>
      <c r="G73" s="186">
        <v>2E-3</v>
      </c>
      <c r="H73" s="51"/>
      <c r="I73" s="195">
        <v>4.68</v>
      </c>
    </row>
    <row r="74" spans="2:9" x14ac:dyDescent="0.25">
      <c r="B74" s="16" t="s">
        <v>56</v>
      </c>
      <c r="C74" s="17"/>
      <c r="D74" s="17"/>
      <c r="E74" s="8"/>
      <c r="F74" s="183">
        <v>50</v>
      </c>
      <c r="G74" s="186">
        <v>0.23599999999999999</v>
      </c>
      <c r="H74" s="51"/>
      <c r="I74" s="197">
        <v>11.8</v>
      </c>
    </row>
    <row r="75" spans="2:9" x14ac:dyDescent="0.25">
      <c r="B75" s="16" t="s">
        <v>57</v>
      </c>
      <c r="C75" s="17"/>
      <c r="D75" s="17"/>
      <c r="E75" s="8"/>
      <c r="F75" s="184">
        <v>100</v>
      </c>
      <c r="G75" s="187">
        <v>0.12</v>
      </c>
      <c r="H75" s="52"/>
      <c r="I75" s="197">
        <v>12</v>
      </c>
    </row>
    <row r="76" spans="2:9" ht="15.75" thickBot="1" x14ac:dyDescent="0.3">
      <c r="B76" s="16" t="s">
        <v>58</v>
      </c>
      <c r="C76" s="17"/>
      <c r="D76" s="17"/>
      <c r="E76" s="8"/>
      <c r="F76" s="184"/>
      <c r="G76" s="8"/>
      <c r="H76" s="53" t="s">
        <v>59</v>
      </c>
      <c r="I76" s="54">
        <f>SUM(I68:I75)</f>
        <v>723.16</v>
      </c>
    </row>
    <row r="77" spans="2:9" ht="15.75" thickBot="1" x14ac:dyDescent="0.3">
      <c r="B77" s="55"/>
      <c r="C77" s="56"/>
      <c r="D77" s="57"/>
      <c r="E77" s="56"/>
      <c r="F77" s="57"/>
      <c r="G77" s="56"/>
      <c r="H77" s="57"/>
      <c r="I77" s="58"/>
    </row>
    <row r="80" spans="2:9" x14ac:dyDescent="0.25">
      <c r="F80" s="108"/>
      <c r="G80" s="108"/>
    </row>
  </sheetData>
  <mergeCells count="18">
    <mergeCell ref="H67:I67"/>
    <mergeCell ref="B70:D72"/>
    <mergeCell ref="K5:N5"/>
    <mergeCell ref="K8:N8"/>
    <mergeCell ref="B64:I64"/>
    <mergeCell ref="C14:E14"/>
    <mergeCell ref="G14:I14"/>
    <mergeCell ref="D17:G17"/>
    <mergeCell ref="C11:E11"/>
    <mergeCell ref="G11:I11"/>
    <mergeCell ref="C12:E12"/>
    <mergeCell ref="G12:I12"/>
    <mergeCell ref="C13:E13"/>
    <mergeCell ref="G13:I13"/>
    <mergeCell ref="B2:I10"/>
    <mergeCell ref="O5:R5"/>
    <mergeCell ref="O8:R8"/>
    <mergeCell ref="B63:I63"/>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G80"/>
  <sheetViews>
    <sheetView topLeftCell="A57" zoomScale="90" zoomScaleNormal="90" workbookViewId="0">
      <selection activeCell="D45" sqref="D45"/>
    </sheetView>
  </sheetViews>
  <sheetFormatPr baseColWidth="10" defaultRowHeight="15" x14ac:dyDescent="0.25"/>
  <cols>
    <col min="1" max="1" width="1.140625" customWidth="1"/>
    <col min="2" max="2" width="11.5703125" style="59" customWidth="1"/>
    <col min="3" max="3" width="10" style="60" customWidth="1"/>
    <col min="4" max="4" width="11.42578125" style="59" customWidth="1"/>
    <col min="5" max="5" width="11.42578125" style="60" customWidth="1"/>
    <col min="6" max="6" width="13.7109375" style="59" customWidth="1"/>
    <col min="7" max="7" width="11.42578125" style="60" customWidth="1"/>
    <col min="8" max="8" width="12" style="59" bestFit="1" customWidth="1"/>
    <col min="9" max="9" width="12" style="60" customWidth="1"/>
    <col min="10" max="10" width="1.5703125" customWidth="1"/>
    <col min="11" max="11" width="22.85546875" customWidth="1"/>
    <col min="13" max="13" width="13.28515625" customWidth="1"/>
    <col min="14" max="14" width="13.7109375" customWidth="1"/>
  </cols>
  <sheetData>
    <row r="1" spans="2:33" ht="15.75" thickBot="1" x14ac:dyDescent="0.3"/>
    <row r="2" spans="2:33" ht="15" customHeight="1" x14ac:dyDescent="0.25">
      <c r="B2" s="385" t="s">
        <v>262</v>
      </c>
      <c r="C2" s="386"/>
      <c r="D2" s="386"/>
      <c r="E2" s="386"/>
      <c r="F2" s="386"/>
      <c r="G2" s="386"/>
      <c r="H2" s="386"/>
      <c r="I2" s="387"/>
      <c r="J2" s="208"/>
    </row>
    <row r="3" spans="2:33" x14ac:dyDescent="0.25">
      <c r="B3" s="388"/>
      <c r="C3" s="389"/>
      <c r="D3" s="389"/>
      <c r="E3" s="389"/>
      <c r="F3" s="389"/>
      <c r="G3" s="389"/>
      <c r="H3" s="389"/>
      <c r="I3" s="390"/>
      <c r="J3" s="209"/>
      <c r="K3" s="368" t="s">
        <v>169</v>
      </c>
      <c r="L3" s="369"/>
      <c r="M3" s="369"/>
      <c r="N3" s="370"/>
      <c r="O3" s="368" t="s">
        <v>236</v>
      </c>
      <c r="P3" s="369"/>
      <c r="Q3" s="369"/>
      <c r="R3" s="370"/>
    </row>
    <row r="4" spans="2:33" x14ac:dyDescent="0.25">
      <c r="B4" s="388"/>
      <c r="C4" s="389"/>
      <c r="D4" s="389"/>
      <c r="E4" s="389"/>
      <c r="F4" s="389"/>
      <c r="G4" s="389"/>
      <c r="H4" s="389"/>
      <c r="I4" s="390"/>
      <c r="J4" s="209"/>
      <c r="K4" s="97" t="s">
        <v>170</v>
      </c>
      <c r="L4" s="97" t="s">
        <v>171</v>
      </c>
      <c r="M4" s="97" t="s">
        <v>172</v>
      </c>
      <c r="N4" s="97" t="s">
        <v>173</v>
      </c>
      <c r="O4" s="97" t="s">
        <v>170</v>
      </c>
      <c r="P4" s="97"/>
      <c r="Q4" s="97"/>
      <c r="R4" s="97" t="s">
        <v>238</v>
      </c>
    </row>
    <row r="5" spans="2:33" x14ac:dyDescent="0.25">
      <c r="B5" s="388"/>
      <c r="C5" s="389"/>
      <c r="D5" s="389"/>
      <c r="E5" s="389"/>
      <c r="F5" s="389"/>
      <c r="G5" s="389"/>
      <c r="H5" s="389"/>
      <c r="I5" s="390"/>
      <c r="J5" s="209"/>
      <c r="K5" s="98">
        <v>1600</v>
      </c>
      <c r="L5" s="97">
        <v>3</v>
      </c>
      <c r="M5" s="98">
        <f>+K5*L5</f>
        <v>4800</v>
      </c>
      <c r="N5" s="98">
        <f>M5/12</f>
        <v>400</v>
      </c>
      <c r="O5" s="98"/>
      <c r="P5" s="97"/>
      <c r="Q5" s="98"/>
      <c r="R5" s="98"/>
    </row>
    <row r="6" spans="2:33" x14ac:dyDescent="0.25">
      <c r="B6" s="388"/>
      <c r="C6" s="389"/>
      <c r="D6" s="389"/>
      <c r="E6" s="389"/>
      <c r="F6" s="389"/>
      <c r="G6" s="389"/>
      <c r="H6" s="389"/>
      <c r="I6" s="390"/>
      <c r="J6" s="209"/>
      <c r="K6" s="368" t="s">
        <v>181</v>
      </c>
      <c r="L6" s="369"/>
      <c r="M6" s="369"/>
      <c r="N6" s="370"/>
      <c r="O6" s="368" t="s">
        <v>182</v>
      </c>
      <c r="P6" s="369"/>
      <c r="Q6" s="369"/>
      <c r="R6" s="370"/>
    </row>
    <row r="7" spans="2:33" x14ac:dyDescent="0.25">
      <c r="B7" s="388"/>
      <c r="C7" s="389"/>
      <c r="D7" s="389"/>
      <c r="E7" s="389"/>
      <c r="F7" s="389"/>
      <c r="G7" s="389"/>
      <c r="H7" s="389"/>
      <c r="I7" s="390"/>
      <c r="J7" s="209"/>
      <c r="K7" s="98" t="s">
        <v>241</v>
      </c>
      <c r="L7" s="97" t="s">
        <v>240</v>
      </c>
      <c r="M7" s="98" t="s">
        <v>259</v>
      </c>
      <c r="N7" s="98" t="s">
        <v>260</v>
      </c>
      <c r="O7" s="98" t="s">
        <v>241</v>
      </c>
      <c r="P7" s="97" t="s">
        <v>261</v>
      </c>
      <c r="Q7" s="98" t="s">
        <v>242</v>
      </c>
      <c r="R7" s="98" t="s">
        <v>259</v>
      </c>
    </row>
    <row r="8" spans="2:33" x14ac:dyDescent="0.25">
      <c r="B8" s="388"/>
      <c r="C8" s="389"/>
      <c r="D8" s="389"/>
      <c r="E8" s="389"/>
      <c r="F8" s="389"/>
      <c r="G8" s="389"/>
      <c r="H8" s="389"/>
      <c r="I8" s="390"/>
      <c r="J8" s="209"/>
      <c r="K8" s="98"/>
      <c r="L8" s="97"/>
      <c r="M8" s="98"/>
      <c r="N8" s="98">
        <f>K8-L8*M8</f>
        <v>0</v>
      </c>
      <c r="O8" s="98"/>
      <c r="P8" s="97"/>
      <c r="Q8" s="98"/>
      <c r="R8" s="98"/>
    </row>
    <row r="9" spans="2:33" ht="15.75" thickBot="1" x14ac:dyDescent="0.3">
      <c r="B9" s="388"/>
      <c r="C9" s="389"/>
      <c r="D9" s="389"/>
      <c r="E9" s="389"/>
      <c r="F9" s="389"/>
      <c r="G9" s="389"/>
      <c r="H9" s="389"/>
      <c r="I9" s="390"/>
      <c r="J9" s="209"/>
    </row>
    <row r="10" spans="2:33" ht="15.75" thickBot="1" x14ac:dyDescent="0.3">
      <c r="B10" s="391"/>
      <c r="C10" s="392"/>
      <c r="D10" s="392"/>
      <c r="E10" s="392"/>
      <c r="F10" s="392"/>
      <c r="G10" s="392"/>
      <c r="H10" s="392"/>
      <c r="I10" s="393"/>
      <c r="J10" s="209"/>
      <c r="K10" s="99" t="s">
        <v>174</v>
      </c>
      <c r="L10" s="100"/>
      <c r="M10" s="100"/>
      <c r="N10" s="100"/>
      <c r="O10" s="100"/>
      <c r="P10" s="100"/>
      <c r="Q10" s="101"/>
    </row>
    <row r="11" spans="2:33" x14ac:dyDescent="0.25">
      <c r="B11" s="1" t="s">
        <v>0</v>
      </c>
      <c r="C11" s="383"/>
      <c r="D11" s="383"/>
      <c r="E11" s="383"/>
      <c r="F11" s="2" t="s">
        <v>1</v>
      </c>
      <c r="G11" s="383" t="s">
        <v>273</v>
      </c>
      <c r="H11" s="383"/>
      <c r="I11" s="384"/>
      <c r="K11" s="102" t="s">
        <v>175</v>
      </c>
      <c r="Q11" s="103"/>
    </row>
    <row r="12" spans="2:33" ht="15" customHeight="1" x14ac:dyDescent="0.25">
      <c r="B12" s="3" t="s">
        <v>2</v>
      </c>
      <c r="C12" s="357"/>
      <c r="D12" s="357"/>
      <c r="E12" s="357"/>
      <c r="F12" s="4" t="s">
        <v>3</v>
      </c>
      <c r="G12" s="357"/>
      <c r="H12" s="357"/>
      <c r="I12" s="358"/>
      <c r="K12" s="102" t="s">
        <v>176</v>
      </c>
      <c r="Q12" s="103"/>
      <c r="U12" s="96"/>
      <c r="V12" s="96"/>
    </row>
    <row r="13" spans="2:33" x14ac:dyDescent="0.25">
      <c r="B13" s="3" t="s">
        <v>4</v>
      </c>
      <c r="C13" s="357"/>
      <c r="D13" s="357"/>
      <c r="E13" s="357"/>
      <c r="F13" s="4" t="s">
        <v>5</v>
      </c>
      <c r="G13" s="357"/>
      <c r="H13" s="357"/>
      <c r="I13" s="358"/>
      <c r="K13" s="165"/>
      <c r="L13" s="166" t="s">
        <v>177</v>
      </c>
      <c r="Q13" s="103"/>
      <c r="U13" s="96"/>
      <c r="V13" s="96"/>
      <c r="Y13" s="96"/>
      <c r="Z13" s="96"/>
      <c r="AA13" s="96"/>
      <c r="AB13" s="96"/>
      <c r="AC13" s="96"/>
      <c r="AD13" s="96"/>
      <c r="AE13" s="96"/>
      <c r="AF13" s="96"/>
      <c r="AG13" s="96"/>
    </row>
    <row r="14" spans="2:33" x14ac:dyDescent="0.25">
      <c r="B14" s="3" t="s">
        <v>6</v>
      </c>
      <c r="C14" s="357"/>
      <c r="D14" s="357"/>
      <c r="E14" s="357"/>
      <c r="F14" s="5" t="s">
        <v>7</v>
      </c>
      <c r="G14" s="357" t="s">
        <v>275</v>
      </c>
      <c r="H14" s="357"/>
      <c r="I14" s="358"/>
      <c r="K14" s="165"/>
      <c r="L14" s="166" t="s">
        <v>178</v>
      </c>
      <c r="Q14" s="103"/>
    </row>
    <row r="15" spans="2:33" ht="15.75" thickBot="1" x14ac:dyDescent="0.3">
      <c r="B15" s="113"/>
      <c r="C15" s="115"/>
      <c r="D15" s="115"/>
      <c r="E15" s="115"/>
      <c r="F15" s="6" t="s">
        <v>8</v>
      </c>
      <c r="G15" s="116"/>
      <c r="H15" s="117">
        <v>3</v>
      </c>
      <c r="I15" s="114"/>
      <c r="K15" s="165"/>
      <c r="L15" s="166" t="s">
        <v>179</v>
      </c>
      <c r="Q15" s="103"/>
    </row>
    <row r="16" spans="2:33" ht="15.75" thickBot="1" x14ac:dyDescent="0.3">
      <c r="B16" s="7"/>
      <c r="C16" s="8"/>
      <c r="D16" s="7"/>
      <c r="E16" s="8"/>
      <c r="F16" s="7"/>
      <c r="G16" s="8"/>
      <c r="H16" s="7"/>
      <c r="I16" s="8"/>
      <c r="K16" s="107"/>
      <c r="L16" s="111" t="s">
        <v>180</v>
      </c>
      <c r="M16" s="104"/>
      <c r="N16" s="104"/>
      <c r="O16" s="104"/>
      <c r="P16" s="104"/>
      <c r="Q16" s="105"/>
    </row>
    <row r="17" spans="2:9" x14ac:dyDescent="0.25">
      <c r="B17" s="9" t="s">
        <v>9</v>
      </c>
      <c r="C17" s="10"/>
      <c r="D17" s="382" t="s">
        <v>274</v>
      </c>
      <c r="E17" s="382"/>
      <c r="F17" s="382"/>
      <c r="G17" s="382"/>
      <c r="H17" s="11" t="s">
        <v>10</v>
      </c>
      <c r="I17" s="168">
        <v>30</v>
      </c>
    </row>
    <row r="18" spans="2:9" x14ac:dyDescent="0.25">
      <c r="B18" s="12" t="s">
        <v>11</v>
      </c>
      <c r="C18" s="13"/>
      <c r="D18" s="14"/>
      <c r="E18" s="13"/>
      <c r="F18" s="14"/>
      <c r="G18" s="13"/>
      <c r="H18" s="14"/>
      <c r="I18" s="15" t="s">
        <v>12</v>
      </c>
    </row>
    <row r="19" spans="2:9" x14ac:dyDescent="0.25">
      <c r="B19" s="95" t="s">
        <v>13</v>
      </c>
      <c r="C19" s="17"/>
      <c r="D19" s="7"/>
      <c r="E19" s="8"/>
      <c r="F19" s="7"/>
      <c r="G19" s="8"/>
      <c r="H19" s="7"/>
      <c r="I19" s="18"/>
    </row>
    <row r="20" spans="2:9" x14ac:dyDescent="0.25">
      <c r="B20" s="16" t="s">
        <v>14</v>
      </c>
      <c r="C20" s="19"/>
      <c r="D20" s="20"/>
      <c r="E20" s="21"/>
      <c r="F20" s="20"/>
      <c r="G20" s="21"/>
      <c r="H20" s="179">
        <v>1600</v>
      </c>
      <c r="I20" s="18"/>
    </row>
    <row r="21" spans="2:9" x14ac:dyDescent="0.25">
      <c r="B21" s="16" t="s">
        <v>15</v>
      </c>
      <c r="C21" s="17"/>
      <c r="D21" s="7"/>
      <c r="E21" s="8"/>
      <c r="F21" s="7"/>
      <c r="G21" s="8"/>
      <c r="H21" s="173"/>
      <c r="I21" s="18"/>
    </row>
    <row r="22" spans="2:9" x14ac:dyDescent="0.25">
      <c r="B22" s="169" t="s">
        <v>272</v>
      </c>
      <c r="C22" s="170"/>
      <c r="D22" s="170"/>
      <c r="E22" s="171"/>
      <c r="F22" s="172"/>
      <c r="G22" s="171"/>
      <c r="H22" s="173">
        <v>200</v>
      </c>
      <c r="I22" s="18"/>
    </row>
    <row r="23" spans="2:9" x14ac:dyDescent="0.25">
      <c r="B23" s="174"/>
      <c r="C23" s="175"/>
      <c r="D23" s="175"/>
      <c r="E23" s="176"/>
      <c r="F23" s="177"/>
      <c r="G23" s="176"/>
      <c r="H23" s="178"/>
      <c r="I23" s="18"/>
    </row>
    <row r="24" spans="2:9" x14ac:dyDescent="0.25">
      <c r="B24" s="169"/>
      <c r="C24" s="23"/>
      <c r="D24" s="23"/>
      <c r="E24" s="24"/>
      <c r="F24" s="25"/>
      <c r="G24" s="24"/>
      <c r="H24" s="173"/>
      <c r="I24" s="18"/>
    </row>
    <row r="25" spans="2:9" x14ac:dyDescent="0.25">
      <c r="B25" s="16" t="s">
        <v>16</v>
      </c>
      <c r="C25" s="17"/>
      <c r="D25" s="26"/>
      <c r="E25" s="24"/>
      <c r="F25" s="25"/>
      <c r="G25" s="24"/>
      <c r="H25" s="178">
        <v>230</v>
      </c>
      <c r="I25" s="18"/>
    </row>
    <row r="26" spans="2:9" x14ac:dyDescent="0.25">
      <c r="B26" s="16" t="s">
        <v>17</v>
      </c>
      <c r="C26" s="17"/>
      <c r="D26" s="25"/>
      <c r="E26" s="24"/>
      <c r="F26" s="25"/>
      <c r="G26" s="24"/>
      <c r="H26" s="178"/>
      <c r="I26" s="18"/>
    </row>
    <row r="27" spans="2:9" x14ac:dyDescent="0.25">
      <c r="B27" s="16" t="s">
        <v>18</v>
      </c>
      <c r="C27" s="17"/>
      <c r="D27" s="7"/>
      <c r="E27" s="24"/>
      <c r="F27" s="25"/>
      <c r="G27" s="24"/>
      <c r="H27" s="178"/>
      <c r="I27" s="18"/>
    </row>
    <row r="28" spans="2:9" x14ac:dyDescent="0.25">
      <c r="B28" s="16" t="s">
        <v>19</v>
      </c>
      <c r="C28" s="17"/>
      <c r="D28" s="20"/>
      <c r="E28" s="24"/>
      <c r="F28" s="25"/>
      <c r="G28" s="24"/>
      <c r="H28" s="178"/>
      <c r="I28" s="18"/>
    </row>
    <row r="29" spans="2:9" x14ac:dyDescent="0.25">
      <c r="B29" s="95" t="s">
        <v>20</v>
      </c>
      <c r="C29" s="17"/>
      <c r="D29" s="7"/>
      <c r="E29" s="8"/>
      <c r="F29" s="7"/>
      <c r="G29" s="8"/>
      <c r="H29" s="173"/>
      <c r="I29" s="18"/>
    </row>
    <row r="30" spans="2:9" x14ac:dyDescent="0.25">
      <c r="B30" s="16" t="s">
        <v>21</v>
      </c>
      <c r="C30" s="17"/>
      <c r="D30" s="7"/>
      <c r="E30" s="8"/>
      <c r="F30" s="7"/>
      <c r="G30" s="8"/>
      <c r="H30" s="173"/>
      <c r="I30" s="18"/>
    </row>
    <row r="31" spans="2:9" x14ac:dyDescent="0.25">
      <c r="B31" s="169"/>
      <c r="C31" s="23"/>
      <c r="D31" s="23"/>
      <c r="E31" s="21"/>
      <c r="F31" s="20"/>
      <c r="G31" s="21"/>
      <c r="H31" s="179"/>
      <c r="I31" s="18"/>
    </row>
    <row r="32" spans="2:9" x14ac:dyDescent="0.25">
      <c r="B32" s="169"/>
      <c r="C32" s="23"/>
      <c r="D32" s="23"/>
      <c r="E32" s="21"/>
      <c r="F32" s="20"/>
      <c r="G32" s="21"/>
      <c r="H32" s="179"/>
      <c r="I32" s="18"/>
    </row>
    <row r="33" spans="2:9" x14ac:dyDescent="0.25">
      <c r="B33" s="16" t="s">
        <v>22</v>
      </c>
      <c r="C33" s="17"/>
      <c r="D33" s="7"/>
      <c r="E33" s="8"/>
      <c r="F33" s="7"/>
      <c r="G33" s="8"/>
      <c r="H33" s="189"/>
      <c r="I33" s="18"/>
    </row>
    <row r="34" spans="2:9" x14ac:dyDescent="0.25">
      <c r="B34" s="169"/>
      <c r="C34" s="23"/>
      <c r="D34" s="23"/>
      <c r="E34" s="21"/>
      <c r="F34" s="20"/>
      <c r="G34" s="21"/>
      <c r="H34" s="179"/>
      <c r="I34" s="18"/>
    </row>
    <row r="35" spans="2:9" x14ac:dyDescent="0.25">
      <c r="B35" s="16" t="s">
        <v>23</v>
      </c>
      <c r="C35" s="17"/>
      <c r="D35" s="7"/>
      <c r="E35" s="8"/>
      <c r="F35" s="7"/>
      <c r="G35" s="8"/>
      <c r="H35" s="173"/>
      <c r="I35" s="18"/>
    </row>
    <row r="36" spans="2:9" x14ac:dyDescent="0.25">
      <c r="B36" s="169"/>
      <c r="C36" s="23"/>
      <c r="D36" s="27"/>
      <c r="E36" s="21"/>
      <c r="F36" s="20"/>
      <c r="G36" s="21"/>
      <c r="H36" s="179"/>
      <c r="I36" s="18"/>
    </row>
    <row r="37" spans="2:9" x14ac:dyDescent="0.25">
      <c r="B37" s="16" t="s">
        <v>24</v>
      </c>
      <c r="C37" s="17"/>
      <c r="D37" s="7"/>
      <c r="E37" s="8"/>
      <c r="F37" s="7"/>
      <c r="G37" s="8"/>
      <c r="H37" s="189"/>
      <c r="I37" s="18"/>
    </row>
    <row r="38" spans="2:9" x14ac:dyDescent="0.25">
      <c r="B38" s="169"/>
      <c r="C38" s="23"/>
      <c r="D38" s="23"/>
      <c r="E38" s="21"/>
      <c r="F38" s="20"/>
      <c r="G38" s="21"/>
      <c r="H38" s="179"/>
      <c r="I38" s="18"/>
    </row>
    <row r="39" spans="2:9" x14ac:dyDescent="0.25">
      <c r="B39" s="169"/>
      <c r="C39" s="23"/>
      <c r="D39" s="23"/>
      <c r="E39" s="21"/>
      <c r="F39" s="20"/>
      <c r="G39" s="21"/>
      <c r="H39" s="179"/>
      <c r="I39" s="18"/>
    </row>
    <row r="40" spans="2:9" ht="15.75" thickBot="1" x14ac:dyDescent="0.3">
      <c r="B40" s="12"/>
      <c r="C40" s="13"/>
      <c r="D40" s="14" t="s">
        <v>25</v>
      </c>
      <c r="E40" s="13"/>
      <c r="F40" s="28"/>
      <c r="G40" s="29"/>
      <c r="H40" s="28"/>
      <c r="I40" s="30">
        <f>SUM(H20:H39)</f>
        <v>2030</v>
      </c>
    </row>
    <row r="41" spans="2:9" x14ac:dyDescent="0.25">
      <c r="B41" s="31"/>
      <c r="C41" s="8"/>
      <c r="D41" s="7"/>
      <c r="E41" s="8"/>
      <c r="F41" s="7"/>
      <c r="G41" s="8"/>
      <c r="H41" s="7"/>
      <c r="I41" s="18"/>
    </row>
    <row r="42" spans="2:9" x14ac:dyDescent="0.25">
      <c r="B42" s="12" t="s">
        <v>26</v>
      </c>
      <c r="C42" s="13"/>
      <c r="D42" s="14"/>
      <c r="E42" s="13"/>
      <c r="F42" s="14"/>
      <c r="G42" s="13"/>
      <c r="H42" s="14"/>
      <c r="I42" s="32"/>
    </row>
    <row r="43" spans="2:9" x14ac:dyDescent="0.25">
      <c r="B43" s="12" t="s">
        <v>27</v>
      </c>
      <c r="C43" s="13"/>
      <c r="D43" s="14"/>
      <c r="E43" s="13"/>
      <c r="F43" s="14"/>
      <c r="G43" s="13"/>
      <c r="H43" s="14"/>
      <c r="I43" s="32"/>
    </row>
    <row r="44" spans="2:9" x14ac:dyDescent="0.25">
      <c r="B44" s="31"/>
      <c r="C44" s="8"/>
      <c r="D44" s="7"/>
      <c r="E44" s="8"/>
      <c r="F44" s="33" t="s">
        <v>28</v>
      </c>
      <c r="G44" s="8"/>
      <c r="H44" s="7"/>
      <c r="I44" s="18"/>
    </row>
    <row r="45" spans="2:9" x14ac:dyDescent="0.25">
      <c r="B45" s="16" t="s">
        <v>29</v>
      </c>
      <c r="C45" s="8"/>
      <c r="D45" s="179">
        <v>2200</v>
      </c>
      <c r="E45" s="34"/>
      <c r="F45" s="180">
        <v>4.7E-2</v>
      </c>
      <c r="G45" s="19"/>
      <c r="H45" s="179">
        <f>D45*F45</f>
        <v>103.4</v>
      </c>
      <c r="I45" s="18"/>
    </row>
    <row r="46" spans="2:9" x14ac:dyDescent="0.25">
      <c r="B46" s="16" t="s">
        <v>30</v>
      </c>
      <c r="C46" s="21"/>
      <c r="D46" s="179">
        <v>2430</v>
      </c>
      <c r="E46" s="35"/>
      <c r="F46" s="180">
        <v>1.6E-2</v>
      </c>
      <c r="G46" s="36"/>
      <c r="H46" s="179">
        <f>D46*F46</f>
        <v>38.880000000000003</v>
      </c>
      <c r="I46" s="18"/>
    </row>
    <row r="47" spans="2:9" x14ac:dyDescent="0.25">
      <c r="B47" s="16" t="s">
        <v>31</v>
      </c>
      <c r="C47" s="8"/>
      <c r="D47" s="179">
        <v>2430</v>
      </c>
      <c r="E47" s="35"/>
      <c r="F47" s="180">
        <v>1E-3</v>
      </c>
      <c r="G47" s="36"/>
      <c r="H47" s="179">
        <f>D47*F47</f>
        <v>2.4300000000000002</v>
      </c>
      <c r="I47" s="18"/>
    </row>
    <row r="48" spans="2:9" x14ac:dyDescent="0.25">
      <c r="B48" s="16" t="s">
        <v>32</v>
      </c>
      <c r="C48" s="8"/>
      <c r="D48" s="17"/>
      <c r="E48" s="179">
        <v>80</v>
      </c>
      <c r="F48" s="180">
        <v>4.7E-2</v>
      </c>
      <c r="G48" s="36"/>
      <c r="H48" s="179">
        <f>E48*F48</f>
        <v>3.76</v>
      </c>
      <c r="I48" s="18"/>
    </row>
    <row r="49" spans="2:9" x14ac:dyDescent="0.25">
      <c r="B49" s="16" t="s">
        <v>33</v>
      </c>
      <c r="C49" s="8"/>
      <c r="D49" s="17"/>
      <c r="E49" s="179">
        <v>150</v>
      </c>
      <c r="F49" s="180">
        <v>0.02</v>
      </c>
      <c r="G49" s="36"/>
      <c r="H49" s="179">
        <f>E49*F49</f>
        <v>3</v>
      </c>
      <c r="I49" s="18"/>
    </row>
    <row r="50" spans="2:9" x14ac:dyDescent="0.25">
      <c r="B50" s="12" t="s">
        <v>34</v>
      </c>
      <c r="C50" s="13"/>
      <c r="D50" s="37"/>
      <c r="E50" s="37"/>
      <c r="F50" s="194"/>
      <c r="G50" s="37"/>
      <c r="H50" s="38">
        <f>SUM(H45:H49)</f>
        <v>151.47</v>
      </c>
      <c r="I50" s="32"/>
    </row>
    <row r="51" spans="2:9" x14ac:dyDescent="0.25">
      <c r="B51" s="31"/>
      <c r="C51" s="8"/>
      <c r="D51" s="17"/>
      <c r="E51" s="17"/>
      <c r="F51" s="17"/>
      <c r="G51" s="17"/>
      <c r="H51" s="22"/>
      <c r="I51" s="18"/>
    </row>
    <row r="52" spans="2:9" x14ac:dyDescent="0.25">
      <c r="B52" s="16" t="s">
        <v>35</v>
      </c>
      <c r="C52" s="181">
        <v>2030</v>
      </c>
      <c r="D52" s="19"/>
      <c r="E52" s="19"/>
      <c r="F52" s="182">
        <v>0.15</v>
      </c>
      <c r="G52" s="19"/>
      <c r="H52" s="179">
        <f>C52*F52</f>
        <v>304.5</v>
      </c>
      <c r="I52" s="18"/>
    </row>
    <row r="53" spans="2:9" x14ac:dyDescent="0.25">
      <c r="B53" s="16" t="s">
        <v>36</v>
      </c>
      <c r="C53" s="21"/>
      <c r="D53" s="19"/>
      <c r="E53" s="19"/>
      <c r="F53" s="190"/>
      <c r="G53" s="188"/>
      <c r="H53" s="178"/>
      <c r="I53" s="18"/>
    </row>
    <row r="54" spans="2:9" x14ac:dyDescent="0.25">
      <c r="B54" s="16" t="s">
        <v>37</v>
      </c>
      <c r="C54" s="8"/>
      <c r="D54" s="7"/>
      <c r="E54" s="8"/>
      <c r="F54" s="177"/>
      <c r="G54" s="176"/>
      <c r="H54" s="178"/>
      <c r="I54" s="18"/>
    </row>
    <row r="55" spans="2:9" x14ac:dyDescent="0.25">
      <c r="B55" s="16" t="s">
        <v>38</v>
      </c>
      <c r="C55" s="8"/>
      <c r="D55" s="20"/>
      <c r="E55" s="21"/>
      <c r="F55" s="172"/>
      <c r="G55" s="171"/>
      <c r="H55" s="178"/>
      <c r="I55" s="18"/>
    </row>
    <row r="56" spans="2:9" x14ac:dyDescent="0.25">
      <c r="B56" s="31"/>
      <c r="C56" s="8"/>
      <c r="D56" s="7"/>
      <c r="E56" s="8"/>
      <c r="F56" s="7"/>
      <c r="G56" s="8"/>
      <c r="H56" s="39"/>
      <c r="I56" s="18"/>
    </row>
    <row r="57" spans="2:9" x14ac:dyDescent="0.25">
      <c r="B57" s="12"/>
      <c r="C57" s="13"/>
      <c r="D57" s="14" t="s">
        <v>39</v>
      </c>
      <c r="E57" s="13"/>
      <c r="F57" s="28"/>
      <c r="G57" s="29"/>
      <c r="H57" s="40">
        <f>H50+H52+H53+H54+H55</f>
        <v>455.97</v>
      </c>
      <c r="I57" s="32"/>
    </row>
    <row r="58" spans="2:9" ht="15.75" thickBot="1" x14ac:dyDescent="0.3">
      <c r="B58" s="12"/>
      <c r="C58" s="13"/>
      <c r="D58" s="14" t="s">
        <v>40</v>
      </c>
      <c r="E58" s="13"/>
      <c r="F58" s="14"/>
      <c r="G58" s="29"/>
      <c r="H58" s="28"/>
      <c r="I58" s="41">
        <f>I40-H57</f>
        <v>1574.03</v>
      </c>
    </row>
    <row r="59" spans="2:9" x14ac:dyDescent="0.25">
      <c r="B59" s="31"/>
      <c r="C59" s="8"/>
      <c r="D59" s="17" t="s">
        <v>41</v>
      </c>
      <c r="E59" s="8"/>
      <c r="F59" s="7"/>
      <c r="G59" s="17" t="s">
        <v>42</v>
      </c>
      <c r="H59" s="7"/>
      <c r="I59" s="42" t="s">
        <v>43</v>
      </c>
    </row>
    <row r="60" spans="2:9" x14ac:dyDescent="0.25">
      <c r="B60" s="31"/>
      <c r="C60" s="8"/>
      <c r="D60" s="7"/>
      <c r="E60" s="8"/>
      <c r="F60" s="7"/>
      <c r="G60" s="8"/>
      <c r="H60" s="7"/>
      <c r="I60" s="18"/>
    </row>
    <row r="61" spans="2:9" ht="15.75" thickBot="1" x14ac:dyDescent="0.3">
      <c r="B61" s="43"/>
      <c r="C61" s="44"/>
      <c r="D61" s="45"/>
      <c r="E61" s="44"/>
      <c r="F61" s="45"/>
      <c r="G61" s="44"/>
      <c r="H61" s="45"/>
      <c r="I61" s="46"/>
    </row>
    <row r="62" spans="2:9" ht="15.75" thickBot="1" x14ac:dyDescent="0.3">
      <c r="B62" s="7"/>
      <c r="C62" s="8"/>
      <c r="D62" s="7"/>
      <c r="E62" s="8"/>
      <c r="F62" s="7"/>
      <c r="G62" s="8"/>
      <c r="H62" s="7"/>
      <c r="I62" s="8"/>
    </row>
    <row r="63" spans="2:9" ht="15" customHeight="1" x14ac:dyDescent="0.25">
      <c r="B63" s="372" t="s">
        <v>44</v>
      </c>
      <c r="C63" s="373"/>
      <c r="D63" s="373"/>
      <c r="E63" s="373"/>
      <c r="F63" s="373"/>
      <c r="G63" s="373"/>
      <c r="H63" s="373"/>
      <c r="I63" s="374"/>
    </row>
    <row r="64" spans="2:9" ht="15.75" thickBot="1" x14ac:dyDescent="0.3">
      <c r="B64" s="379" t="s">
        <v>45</v>
      </c>
      <c r="C64" s="380"/>
      <c r="D64" s="380"/>
      <c r="E64" s="380"/>
      <c r="F64" s="380"/>
      <c r="G64" s="380"/>
      <c r="H64" s="380"/>
      <c r="I64" s="381"/>
    </row>
    <row r="65" spans="2:9" x14ac:dyDescent="0.25">
      <c r="B65" s="16" t="s">
        <v>46</v>
      </c>
      <c r="C65" s="17"/>
      <c r="D65" s="17"/>
      <c r="E65" s="8"/>
      <c r="F65" s="7"/>
      <c r="G65" s="8"/>
      <c r="H65" s="7"/>
      <c r="I65" s="18"/>
    </row>
    <row r="66" spans="2:9" x14ac:dyDescent="0.25">
      <c r="B66" s="16" t="s">
        <v>47</v>
      </c>
      <c r="C66" s="17"/>
      <c r="D66" s="19"/>
      <c r="E66" s="183">
        <v>1800</v>
      </c>
      <c r="F66" s="47"/>
      <c r="G66" s="47"/>
      <c r="H66" s="7"/>
      <c r="I66" s="18"/>
    </row>
    <row r="67" spans="2:9" x14ac:dyDescent="0.25">
      <c r="B67" s="16" t="s">
        <v>48</v>
      </c>
      <c r="C67" s="17"/>
      <c r="D67" s="24"/>
      <c r="E67" s="184">
        <v>400</v>
      </c>
      <c r="F67" s="47"/>
      <c r="G67" s="48" t="s">
        <v>28</v>
      </c>
      <c r="H67" s="375" t="s">
        <v>49</v>
      </c>
      <c r="I67" s="376"/>
    </row>
    <row r="68" spans="2:9" x14ac:dyDescent="0.25">
      <c r="B68" s="16"/>
      <c r="C68" s="17"/>
      <c r="D68" s="49" t="s">
        <v>50</v>
      </c>
      <c r="E68" s="184">
        <v>2200</v>
      </c>
      <c r="F68" s="47"/>
      <c r="G68" s="187">
        <v>0.23599999999999999</v>
      </c>
      <c r="H68" s="50"/>
      <c r="I68" s="195">
        <f>E68*G68</f>
        <v>519.19999999999993</v>
      </c>
    </row>
    <row r="69" spans="2:9" x14ac:dyDescent="0.25">
      <c r="B69" s="16"/>
      <c r="C69" s="17"/>
      <c r="D69" s="17"/>
      <c r="E69" s="47"/>
      <c r="F69" s="48" t="s">
        <v>51</v>
      </c>
      <c r="G69" s="193"/>
      <c r="H69" s="17"/>
      <c r="I69" s="196"/>
    </row>
    <row r="70" spans="2:9" ht="15" customHeight="1" x14ac:dyDescent="0.25">
      <c r="B70" s="377" t="s">
        <v>52</v>
      </c>
      <c r="C70" s="378"/>
      <c r="D70" s="378"/>
      <c r="E70" s="47" t="s">
        <v>53</v>
      </c>
      <c r="F70" s="183">
        <v>2430</v>
      </c>
      <c r="G70" s="185">
        <v>1.4999999999999999E-2</v>
      </c>
      <c r="H70" s="47"/>
      <c r="I70" s="195">
        <f t="shared" ref="I70:I75" si="0">F70*G70</f>
        <v>36.449999999999996</v>
      </c>
    </row>
    <row r="71" spans="2:9" x14ac:dyDescent="0.25">
      <c r="B71" s="377"/>
      <c r="C71" s="378"/>
      <c r="D71" s="378"/>
      <c r="E71" s="47" t="s">
        <v>30</v>
      </c>
      <c r="F71" s="183">
        <v>2430</v>
      </c>
      <c r="G71" s="186">
        <v>6.7000000000000004E-2</v>
      </c>
      <c r="H71" s="51"/>
      <c r="I71" s="195">
        <f t="shared" si="0"/>
        <v>162.81</v>
      </c>
    </row>
    <row r="72" spans="2:9" x14ac:dyDescent="0.25">
      <c r="B72" s="377"/>
      <c r="C72" s="378"/>
      <c r="D72" s="378"/>
      <c r="E72" s="8" t="s">
        <v>54</v>
      </c>
      <c r="F72" s="183">
        <v>2430</v>
      </c>
      <c r="G72" s="186">
        <v>6.0000000000000001E-3</v>
      </c>
      <c r="H72" s="51"/>
      <c r="I72" s="195">
        <f t="shared" si="0"/>
        <v>14.58</v>
      </c>
    </row>
    <row r="73" spans="2:9" x14ac:dyDescent="0.25">
      <c r="B73" s="192"/>
      <c r="C73" s="191"/>
      <c r="D73" s="191"/>
      <c r="E73" s="8" t="s">
        <v>55</v>
      </c>
      <c r="F73" s="183">
        <v>2430</v>
      </c>
      <c r="G73" s="186">
        <v>2E-3</v>
      </c>
      <c r="H73" s="51"/>
      <c r="I73" s="195">
        <f t="shared" si="0"/>
        <v>4.8600000000000003</v>
      </c>
    </row>
    <row r="74" spans="2:9" x14ac:dyDescent="0.25">
      <c r="B74" s="16" t="s">
        <v>56</v>
      </c>
      <c r="C74" s="17"/>
      <c r="D74" s="17"/>
      <c r="E74" s="8"/>
      <c r="F74" s="183">
        <v>80</v>
      </c>
      <c r="G74" s="186">
        <v>0.23599999999999999</v>
      </c>
      <c r="H74" s="51"/>
      <c r="I74" s="197">
        <f t="shared" si="0"/>
        <v>18.88</v>
      </c>
    </row>
    <row r="75" spans="2:9" x14ac:dyDescent="0.25">
      <c r="B75" s="16" t="s">
        <v>57</v>
      </c>
      <c r="C75" s="17"/>
      <c r="D75" s="17"/>
      <c r="E75" s="8"/>
      <c r="F75" s="184">
        <v>150</v>
      </c>
      <c r="G75" s="187">
        <v>0.12</v>
      </c>
      <c r="H75" s="52"/>
      <c r="I75" s="197">
        <f t="shared" si="0"/>
        <v>18</v>
      </c>
    </row>
    <row r="76" spans="2:9" ht="15.75" thickBot="1" x14ac:dyDescent="0.3">
      <c r="B76" s="16" t="s">
        <v>58</v>
      </c>
      <c r="C76" s="17"/>
      <c r="D76" s="17"/>
      <c r="E76" s="8"/>
      <c r="F76" s="184"/>
      <c r="G76" s="8"/>
      <c r="H76" s="53" t="s">
        <v>59</v>
      </c>
      <c r="I76" s="54">
        <f>SUM(I68:I75)</f>
        <v>774.78000000000009</v>
      </c>
    </row>
    <row r="77" spans="2:9" ht="15.75" thickBot="1" x14ac:dyDescent="0.3">
      <c r="B77" s="55"/>
      <c r="C77" s="56"/>
      <c r="D77" s="57"/>
      <c r="E77" s="56"/>
      <c r="F77" s="57"/>
      <c r="G77" s="56"/>
      <c r="H77" s="57"/>
      <c r="I77" s="58"/>
    </row>
    <row r="80" spans="2:9" x14ac:dyDescent="0.25">
      <c r="F80" s="108"/>
      <c r="G80" s="108"/>
    </row>
  </sheetData>
  <mergeCells count="18">
    <mergeCell ref="O3:R3"/>
    <mergeCell ref="O6:R6"/>
    <mergeCell ref="B2:I10"/>
    <mergeCell ref="K3:N3"/>
    <mergeCell ref="K6:N6"/>
    <mergeCell ref="B63:I63"/>
    <mergeCell ref="H67:I67"/>
    <mergeCell ref="B70:D72"/>
    <mergeCell ref="C11:E11"/>
    <mergeCell ref="G11:I11"/>
    <mergeCell ref="C12:E12"/>
    <mergeCell ref="G12:I12"/>
    <mergeCell ref="B64:I64"/>
    <mergeCell ref="C14:E14"/>
    <mergeCell ref="G14:I14"/>
    <mergeCell ref="D17:G17"/>
    <mergeCell ref="C13:E13"/>
    <mergeCell ref="G13:I13"/>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S80"/>
  <sheetViews>
    <sheetView topLeftCell="A63" zoomScale="110" zoomScaleNormal="110" workbookViewId="0">
      <selection activeCell="K45" sqref="K45"/>
    </sheetView>
  </sheetViews>
  <sheetFormatPr baseColWidth="10" defaultRowHeight="15" x14ac:dyDescent="0.25"/>
  <cols>
    <col min="1" max="1" width="1.140625" customWidth="1"/>
    <col min="2" max="2" width="11.5703125" style="59" customWidth="1"/>
    <col min="3" max="3" width="10" style="60" customWidth="1"/>
    <col min="4" max="4" width="11.42578125" style="59" customWidth="1"/>
    <col min="5" max="5" width="11.42578125" style="60" customWidth="1"/>
    <col min="6" max="6" width="13.7109375" style="59" customWidth="1"/>
    <col min="7" max="7" width="11.42578125" style="60" customWidth="1"/>
    <col min="8" max="8" width="12" style="59" bestFit="1" customWidth="1"/>
    <col min="9" max="9" width="12" style="60" customWidth="1"/>
    <col min="10" max="10" width="1.5703125" customWidth="1"/>
    <col min="11" max="11" width="22.85546875" customWidth="1"/>
    <col min="13" max="13" width="13.28515625" customWidth="1"/>
    <col min="14" max="14" width="13.7109375" customWidth="1"/>
    <col min="19" max="19" width="13.85546875" customWidth="1"/>
    <col min="20" max="20" width="13.42578125" customWidth="1"/>
  </cols>
  <sheetData>
    <row r="2" spans="2:18" x14ac:dyDescent="0.25">
      <c r="B2" s="394" t="s">
        <v>263</v>
      </c>
      <c r="C2" s="394"/>
      <c r="D2" s="394"/>
      <c r="E2" s="394"/>
      <c r="F2" s="394"/>
      <c r="G2" s="394"/>
      <c r="H2" s="394"/>
      <c r="I2" s="394"/>
    </row>
    <row r="3" spans="2:18" x14ac:dyDescent="0.25">
      <c r="B3" s="394"/>
      <c r="C3" s="394"/>
      <c r="D3" s="394"/>
      <c r="E3" s="394"/>
      <c r="F3" s="394"/>
      <c r="G3" s="394"/>
      <c r="H3" s="394"/>
      <c r="I3" s="394"/>
      <c r="K3" s="368" t="s">
        <v>169</v>
      </c>
      <c r="L3" s="369"/>
      <c r="M3" s="369"/>
      <c r="N3" s="370"/>
      <c r="O3" s="368" t="s">
        <v>236</v>
      </c>
      <c r="P3" s="369"/>
      <c r="Q3" s="369"/>
      <c r="R3" s="370"/>
    </row>
    <row r="4" spans="2:18" x14ac:dyDescent="0.25">
      <c r="B4" s="394"/>
      <c r="C4" s="394"/>
      <c r="D4" s="394"/>
      <c r="E4" s="394"/>
      <c r="F4" s="394"/>
      <c r="G4" s="394"/>
      <c r="H4" s="394"/>
      <c r="I4" s="394"/>
      <c r="K4" s="97" t="s">
        <v>170</v>
      </c>
      <c r="L4" s="97" t="s">
        <v>171</v>
      </c>
      <c r="M4" s="97" t="s">
        <v>172</v>
      </c>
      <c r="N4" s="97" t="s">
        <v>173</v>
      </c>
      <c r="O4" s="97" t="s">
        <v>170</v>
      </c>
      <c r="P4" s="97"/>
      <c r="Q4" s="97"/>
      <c r="R4" s="97" t="s">
        <v>238</v>
      </c>
    </row>
    <row r="5" spans="2:18" x14ac:dyDescent="0.25">
      <c r="B5" s="394"/>
      <c r="C5" s="394"/>
      <c r="D5" s="394"/>
      <c r="E5" s="394"/>
      <c r="F5" s="394"/>
      <c r="G5" s="394"/>
      <c r="H5" s="394"/>
      <c r="I5" s="394"/>
      <c r="K5" s="98">
        <v>1200</v>
      </c>
      <c r="L5" s="97">
        <v>2</v>
      </c>
      <c r="M5" s="98">
        <f>+K5*L5</f>
        <v>2400</v>
      </c>
      <c r="N5" s="98">
        <f>M5/12</f>
        <v>200</v>
      </c>
      <c r="O5" s="98"/>
      <c r="P5" s="97"/>
      <c r="Q5" s="98"/>
      <c r="R5" s="98"/>
    </row>
    <row r="6" spans="2:18" x14ac:dyDescent="0.25">
      <c r="B6" s="394"/>
      <c r="C6" s="394"/>
      <c r="D6" s="394"/>
      <c r="E6" s="394"/>
      <c r="F6" s="394"/>
      <c r="G6" s="394"/>
      <c r="H6" s="394"/>
      <c r="I6" s="394"/>
      <c r="K6" s="368" t="s">
        <v>181</v>
      </c>
      <c r="L6" s="369"/>
      <c r="M6" s="369"/>
      <c r="N6" s="370"/>
      <c r="O6" s="368" t="s">
        <v>182</v>
      </c>
      <c r="P6" s="369"/>
      <c r="Q6" s="369"/>
      <c r="R6" s="370"/>
    </row>
    <row r="7" spans="2:18" x14ac:dyDescent="0.25">
      <c r="B7" s="394"/>
      <c r="C7" s="394"/>
      <c r="D7" s="394"/>
      <c r="E7" s="394"/>
      <c r="F7" s="394"/>
      <c r="G7" s="394"/>
      <c r="H7" s="394"/>
      <c r="I7" s="394"/>
      <c r="K7" s="98" t="s">
        <v>241</v>
      </c>
      <c r="L7" s="97" t="s">
        <v>240</v>
      </c>
      <c r="M7" s="98" t="s">
        <v>283</v>
      </c>
      <c r="N7" s="98" t="s">
        <v>284</v>
      </c>
      <c r="O7" s="98" t="s">
        <v>241</v>
      </c>
      <c r="P7" s="97" t="s">
        <v>261</v>
      </c>
      <c r="Q7" s="98" t="s">
        <v>242</v>
      </c>
      <c r="R7" s="98" t="s">
        <v>259</v>
      </c>
    </row>
    <row r="8" spans="2:18" x14ac:dyDescent="0.25">
      <c r="B8" s="394"/>
      <c r="C8" s="394"/>
      <c r="D8" s="394"/>
      <c r="E8" s="394"/>
      <c r="F8" s="394"/>
      <c r="G8" s="394"/>
      <c r="H8" s="394"/>
      <c r="I8" s="394"/>
      <c r="K8" s="98">
        <v>100</v>
      </c>
      <c r="L8" s="97">
        <v>2</v>
      </c>
      <c r="M8" s="98">
        <v>53.34</v>
      </c>
      <c r="N8" s="98">
        <f>K8-L8*M8</f>
        <v>-6.6800000000000068</v>
      </c>
      <c r="O8" s="98"/>
      <c r="P8" s="97"/>
      <c r="Q8" s="98"/>
      <c r="R8" s="98"/>
    </row>
    <row r="9" spans="2:18" ht="15.75" thickBot="1" x14ac:dyDescent="0.3">
      <c r="B9" s="394"/>
      <c r="C9" s="394"/>
      <c r="D9" s="394"/>
      <c r="E9" s="394"/>
      <c r="F9" s="394"/>
      <c r="G9" s="394"/>
      <c r="H9" s="394"/>
      <c r="I9" s="394"/>
    </row>
    <row r="10" spans="2:18" ht="15.75" thickBot="1" x14ac:dyDescent="0.3">
      <c r="B10" s="394"/>
      <c r="C10" s="394"/>
      <c r="D10" s="394"/>
      <c r="E10" s="394"/>
      <c r="F10" s="394"/>
      <c r="G10" s="394"/>
      <c r="H10" s="394"/>
      <c r="I10" s="394"/>
      <c r="K10" s="99" t="s">
        <v>174</v>
      </c>
      <c r="L10" s="100"/>
      <c r="M10" s="100"/>
      <c r="N10" s="100"/>
      <c r="O10" s="100"/>
      <c r="P10" s="100"/>
      <c r="Q10" s="101"/>
    </row>
    <row r="11" spans="2:18" x14ac:dyDescent="0.25">
      <c r="B11" s="1" t="s">
        <v>0</v>
      </c>
      <c r="C11" s="383" t="s">
        <v>276</v>
      </c>
      <c r="D11" s="383"/>
      <c r="E11" s="383"/>
      <c r="F11" s="2" t="s">
        <v>1</v>
      </c>
      <c r="G11" s="383" t="s">
        <v>281</v>
      </c>
      <c r="H11" s="383"/>
      <c r="I11" s="384"/>
      <c r="K11" s="102" t="s">
        <v>175</v>
      </c>
      <c r="Q11" s="103"/>
    </row>
    <row r="12" spans="2:18" ht="15" customHeight="1" x14ac:dyDescent="0.25">
      <c r="B12" s="3" t="s">
        <v>2</v>
      </c>
      <c r="C12" s="357"/>
      <c r="D12" s="357"/>
      <c r="E12" s="357"/>
      <c r="F12" s="4" t="s">
        <v>3</v>
      </c>
      <c r="G12" s="357"/>
      <c r="H12" s="357"/>
      <c r="I12" s="358"/>
      <c r="K12" s="102" t="s">
        <v>176</v>
      </c>
      <c r="Q12" s="103"/>
    </row>
    <row r="13" spans="2:18" x14ac:dyDescent="0.25">
      <c r="B13" s="3" t="s">
        <v>4</v>
      </c>
      <c r="C13" s="357"/>
      <c r="D13" s="357"/>
      <c r="E13" s="357"/>
      <c r="F13" s="4" t="s">
        <v>5</v>
      </c>
      <c r="G13" s="357"/>
      <c r="H13" s="357"/>
      <c r="I13" s="358"/>
      <c r="K13" s="165"/>
      <c r="L13" s="166" t="s">
        <v>177</v>
      </c>
      <c r="Q13" s="103"/>
    </row>
    <row r="14" spans="2:18" x14ac:dyDescent="0.25">
      <c r="B14" s="3" t="s">
        <v>6</v>
      </c>
      <c r="C14" s="357"/>
      <c r="D14" s="357"/>
      <c r="E14" s="357"/>
      <c r="F14" s="5" t="s">
        <v>7</v>
      </c>
      <c r="G14" s="357" t="s">
        <v>277</v>
      </c>
      <c r="H14" s="357"/>
      <c r="I14" s="358"/>
      <c r="K14" s="165"/>
      <c r="L14" s="166" t="s">
        <v>178</v>
      </c>
      <c r="Q14" s="103"/>
    </row>
    <row r="15" spans="2:18" ht="15.75" thickBot="1" x14ac:dyDescent="0.3">
      <c r="B15" s="113"/>
      <c r="C15" s="115"/>
      <c r="D15" s="115"/>
      <c r="E15" s="115"/>
      <c r="F15" s="6" t="s">
        <v>8</v>
      </c>
      <c r="G15" s="116"/>
      <c r="H15" s="117">
        <v>5</v>
      </c>
      <c r="I15" s="114"/>
      <c r="K15" s="165"/>
      <c r="L15" s="166" t="s">
        <v>179</v>
      </c>
      <c r="Q15" s="103"/>
    </row>
    <row r="16" spans="2:18" ht="15.75" thickBot="1" x14ac:dyDescent="0.3">
      <c r="B16" s="7"/>
      <c r="C16" s="8"/>
      <c r="D16" s="7"/>
      <c r="E16" s="8"/>
      <c r="F16" s="7"/>
      <c r="G16" s="8"/>
      <c r="H16" s="7"/>
      <c r="I16" s="8"/>
      <c r="K16" s="107"/>
      <c r="L16" s="111" t="s">
        <v>180</v>
      </c>
      <c r="M16" s="104"/>
      <c r="N16" s="104"/>
      <c r="O16" s="104"/>
      <c r="P16" s="104"/>
      <c r="Q16" s="105"/>
    </row>
    <row r="17" spans="2:19" x14ac:dyDescent="0.25">
      <c r="B17" s="9" t="s">
        <v>9</v>
      </c>
      <c r="C17" s="10"/>
      <c r="D17" s="382" t="s">
        <v>274</v>
      </c>
      <c r="E17" s="382"/>
      <c r="F17" s="382"/>
      <c r="G17" s="382"/>
      <c r="H17" s="11" t="s">
        <v>10</v>
      </c>
      <c r="I17" s="168">
        <v>30</v>
      </c>
    </row>
    <row r="18" spans="2:19" x14ac:dyDescent="0.25">
      <c r="B18" s="12" t="s">
        <v>11</v>
      </c>
      <c r="C18" s="13"/>
      <c r="D18" s="14"/>
      <c r="E18" s="13"/>
      <c r="F18" s="14"/>
      <c r="G18" s="13"/>
      <c r="H18" s="14"/>
      <c r="I18" s="15" t="s">
        <v>12</v>
      </c>
    </row>
    <row r="19" spans="2:19" x14ac:dyDescent="0.25">
      <c r="B19" s="95" t="s">
        <v>13</v>
      </c>
      <c r="C19" s="17"/>
      <c r="D19" s="7"/>
      <c r="E19" s="8"/>
      <c r="F19" s="7"/>
      <c r="G19" s="8"/>
      <c r="H19" s="7"/>
      <c r="I19" s="18"/>
    </row>
    <row r="20" spans="2:19" x14ac:dyDescent="0.25">
      <c r="B20" s="16" t="s">
        <v>14</v>
      </c>
      <c r="C20" s="19"/>
      <c r="D20" s="20"/>
      <c r="E20" s="21"/>
      <c r="F20" s="20"/>
      <c r="G20" s="21"/>
      <c r="H20" s="179">
        <v>1200</v>
      </c>
      <c r="I20" s="18"/>
    </row>
    <row r="21" spans="2:19" x14ac:dyDescent="0.25">
      <c r="B21" s="16" t="s">
        <v>15</v>
      </c>
      <c r="C21" s="17"/>
      <c r="D21" s="7"/>
      <c r="E21" s="8"/>
      <c r="F21" s="7"/>
      <c r="G21" s="8"/>
      <c r="H21" s="173"/>
      <c r="I21" s="18"/>
    </row>
    <row r="22" spans="2:19" x14ac:dyDescent="0.25">
      <c r="B22" s="169" t="s">
        <v>278</v>
      </c>
      <c r="C22" s="170"/>
      <c r="D22" s="170"/>
      <c r="E22" s="171"/>
      <c r="F22" s="172"/>
      <c r="G22" s="171"/>
      <c r="H22" s="173">
        <v>70</v>
      </c>
      <c r="I22" s="18"/>
    </row>
    <row r="23" spans="2:19" x14ac:dyDescent="0.25">
      <c r="B23" s="174" t="s">
        <v>279</v>
      </c>
      <c r="C23" s="175"/>
      <c r="D23" s="175"/>
      <c r="E23" s="176"/>
      <c r="F23" s="177"/>
      <c r="G23" s="176"/>
      <c r="H23" s="178">
        <v>50</v>
      </c>
      <c r="I23" s="18"/>
    </row>
    <row r="24" spans="2:19" x14ac:dyDescent="0.25">
      <c r="B24" s="169" t="s">
        <v>280</v>
      </c>
      <c r="C24" s="23"/>
      <c r="D24" s="23"/>
      <c r="E24" s="24"/>
      <c r="F24" s="25"/>
      <c r="G24" s="24"/>
      <c r="H24" s="173">
        <v>30</v>
      </c>
      <c r="I24" s="18"/>
    </row>
    <row r="25" spans="2:19" x14ac:dyDescent="0.25">
      <c r="B25" s="16" t="s">
        <v>16</v>
      </c>
      <c r="C25" s="17"/>
      <c r="D25" s="26"/>
      <c r="E25" s="24"/>
      <c r="F25" s="25"/>
      <c r="G25" s="24"/>
      <c r="H25" s="178">
        <v>50</v>
      </c>
      <c r="I25" s="18"/>
    </row>
    <row r="26" spans="2:19" x14ac:dyDescent="0.25">
      <c r="B26" s="16" t="s">
        <v>17</v>
      </c>
      <c r="C26" s="17"/>
      <c r="D26" s="25"/>
      <c r="E26" s="24"/>
      <c r="F26" s="25"/>
      <c r="G26" s="24"/>
      <c r="H26" s="178"/>
      <c r="I26" s="18"/>
      <c r="S26" s="98" t="s">
        <v>260</v>
      </c>
    </row>
    <row r="27" spans="2:19" x14ac:dyDescent="0.25">
      <c r="B27" s="16" t="s">
        <v>18</v>
      </c>
      <c r="C27" s="17"/>
      <c r="D27" s="7"/>
      <c r="E27" s="24"/>
      <c r="F27" s="25"/>
      <c r="G27" s="24"/>
      <c r="H27" s="178"/>
      <c r="I27" s="18"/>
      <c r="S27" s="98">
        <f>O27-P27-(Q27*R27)</f>
        <v>0</v>
      </c>
    </row>
    <row r="28" spans="2:19" x14ac:dyDescent="0.25">
      <c r="B28" s="16" t="s">
        <v>19</v>
      </c>
      <c r="C28" s="17"/>
      <c r="D28" s="20"/>
      <c r="E28" s="24"/>
      <c r="F28" s="25"/>
      <c r="G28" s="24"/>
      <c r="H28" s="178"/>
      <c r="I28" s="18"/>
    </row>
    <row r="29" spans="2:19" x14ac:dyDescent="0.25">
      <c r="B29" s="95" t="s">
        <v>20</v>
      </c>
      <c r="C29" s="17"/>
      <c r="D29" s="7"/>
      <c r="E29" s="8"/>
      <c r="F29" s="7"/>
      <c r="G29" s="8"/>
      <c r="H29" s="173"/>
      <c r="I29" s="18"/>
    </row>
    <row r="30" spans="2:19" x14ac:dyDescent="0.25">
      <c r="B30" s="16" t="s">
        <v>21</v>
      </c>
      <c r="C30" s="17"/>
      <c r="D30" s="7"/>
      <c r="E30" s="8"/>
      <c r="F30" s="7"/>
      <c r="G30" s="8"/>
      <c r="H30" s="173"/>
      <c r="I30" s="18"/>
    </row>
    <row r="31" spans="2:19" x14ac:dyDescent="0.25">
      <c r="B31" s="169" t="s">
        <v>282</v>
      </c>
      <c r="C31" s="23"/>
      <c r="D31" s="23"/>
      <c r="E31" s="21"/>
      <c r="F31" s="20"/>
      <c r="G31" s="21"/>
      <c r="H31" s="179">
        <v>100</v>
      </c>
      <c r="I31" s="18"/>
    </row>
    <row r="32" spans="2:19" x14ac:dyDescent="0.25">
      <c r="B32" s="169"/>
      <c r="C32" s="23"/>
      <c r="D32" s="23"/>
      <c r="E32" s="21"/>
      <c r="F32" s="20"/>
      <c r="G32" s="21"/>
      <c r="H32" s="179"/>
      <c r="I32" s="18"/>
    </row>
    <row r="33" spans="2:9" x14ac:dyDescent="0.25">
      <c r="B33" s="16" t="s">
        <v>22</v>
      </c>
      <c r="C33" s="17"/>
      <c r="D33" s="7"/>
      <c r="E33" s="8"/>
      <c r="F33" s="7"/>
      <c r="G33" s="8"/>
      <c r="H33" s="189"/>
      <c r="I33" s="18"/>
    </row>
    <row r="34" spans="2:9" x14ac:dyDescent="0.25">
      <c r="B34" s="169"/>
      <c r="C34" s="23"/>
      <c r="D34" s="23"/>
      <c r="E34" s="21"/>
      <c r="F34" s="20"/>
      <c r="G34" s="21"/>
      <c r="H34" s="179"/>
      <c r="I34" s="18"/>
    </row>
    <row r="35" spans="2:9" x14ac:dyDescent="0.25">
      <c r="B35" s="16" t="s">
        <v>23</v>
      </c>
      <c r="C35" s="17"/>
      <c r="D35" s="7"/>
      <c r="E35" s="8"/>
      <c r="F35" s="7"/>
      <c r="G35" s="8"/>
      <c r="H35" s="173"/>
      <c r="I35" s="18"/>
    </row>
    <row r="36" spans="2:9" x14ac:dyDescent="0.25">
      <c r="B36" s="169"/>
      <c r="C36" s="23"/>
      <c r="D36" s="27"/>
      <c r="E36" s="21"/>
      <c r="F36" s="20"/>
      <c r="G36" s="21"/>
      <c r="H36" s="179"/>
      <c r="I36" s="18"/>
    </row>
    <row r="37" spans="2:9" x14ac:dyDescent="0.25">
      <c r="B37" s="16" t="s">
        <v>24</v>
      </c>
      <c r="C37" s="17"/>
      <c r="D37" s="7"/>
      <c r="E37" s="8"/>
      <c r="F37" s="7"/>
      <c r="G37" s="8"/>
      <c r="H37" s="189"/>
      <c r="I37" s="18"/>
    </row>
    <row r="38" spans="2:9" x14ac:dyDescent="0.25">
      <c r="B38" s="169"/>
      <c r="C38" s="23"/>
      <c r="D38" s="23"/>
      <c r="E38" s="21"/>
      <c r="F38" s="20"/>
      <c r="G38" s="21"/>
      <c r="H38" s="179"/>
      <c r="I38" s="18"/>
    </row>
    <row r="39" spans="2:9" x14ac:dyDescent="0.25">
      <c r="B39" s="169"/>
      <c r="C39" s="23"/>
      <c r="D39" s="23"/>
      <c r="E39" s="21"/>
      <c r="F39" s="20"/>
      <c r="G39" s="21"/>
      <c r="H39" s="179"/>
      <c r="I39" s="18"/>
    </row>
    <row r="40" spans="2:9" ht="15.75" thickBot="1" x14ac:dyDescent="0.3">
      <c r="B40" s="12"/>
      <c r="C40" s="13"/>
      <c r="D40" s="14" t="s">
        <v>25</v>
      </c>
      <c r="E40" s="13"/>
      <c r="F40" s="28"/>
      <c r="G40" s="29"/>
      <c r="H40" s="28"/>
      <c r="I40" s="30">
        <f>SUM(H20:H39)</f>
        <v>1500</v>
      </c>
    </row>
    <row r="41" spans="2:9" x14ac:dyDescent="0.25">
      <c r="B41" s="31"/>
      <c r="C41" s="8"/>
      <c r="D41" s="7"/>
      <c r="E41" s="8"/>
      <c r="F41" s="7"/>
      <c r="G41" s="8"/>
      <c r="H41" s="7"/>
      <c r="I41" s="18"/>
    </row>
    <row r="42" spans="2:9" x14ac:dyDescent="0.25">
      <c r="B42" s="12" t="s">
        <v>26</v>
      </c>
      <c r="C42" s="13"/>
      <c r="D42" s="14"/>
      <c r="E42" s="13"/>
      <c r="F42" s="14"/>
      <c r="G42" s="13"/>
      <c r="H42" s="14"/>
      <c r="I42" s="32"/>
    </row>
    <row r="43" spans="2:9" x14ac:dyDescent="0.25">
      <c r="B43" s="12" t="s">
        <v>27</v>
      </c>
      <c r="C43" s="13"/>
      <c r="D43" s="14"/>
      <c r="E43" s="13"/>
      <c r="F43" s="14"/>
      <c r="G43" s="13"/>
      <c r="H43" s="14"/>
      <c r="I43" s="32"/>
    </row>
    <row r="44" spans="2:9" x14ac:dyDescent="0.25">
      <c r="B44" s="31"/>
      <c r="C44" s="8"/>
      <c r="D44" s="7"/>
      <c r="E44" s="8"/>
      <c r="F44" s="33" t="s">
        <v>28</v>
      </c>
      <c r="G44" s="8"/>
      <c r="H44" s="7"/>
      <c r="I44" s="18"/>
    </row>
    <row r="45" spans="2:9" x14ac:dyDescent="0.25">
      <c r="B45" s="16" t="s">
        <v>29</v>
      </c>
      <c r="C45" s="8"/>
      <c r="D45" s="179">
        <v>1550</v>
      </c>
      <c r="E45" s="34"/>
      <c r="F45" s="180">
        <v>4.7E-2</v>
      </c>
      <c r="G45" s="19"/>
      <c r="H45" s="179">
        <f>D45*F45</f>
        <v>72.849999999999994</v>
      </c>
      <c r="I45" s="18"/>
    </row>
    <row r="46" spans="2:9" x14ac:dyDescent="0.25">
      <c r="B46" s="16" t="s">
        <v>30</v>
      </c>
      <c r="C46" s="21"/>
      <c r="D46" s="179">
        <v>1600</v>
      </c>
      <c r="E46" s="35"/>
      <c r="F46" s="180">
        <v>1.55E-2</v>
      </c>
      <c r="G46" s="36"/>
      <c r="H46" s="179">
        <f>D46*F46</f>
        <v>24.8</v>
      </c>
      <c r="I46" s="18"/>
    </row>
    <row r="47" spans="2:9" x14ac:dyDescent="0.25">
      <c r="B47" s="16" t="s">
        <v>31</v>
      </c>
      <c r="C47" s="8"/>
      <c r="D47" s="179">
        <v>1600</v>
      </c>
      <c r="E47" s="35"/>
      <c r="F47" s="180">
        <v>1E-3</v>
      </c>
      <c r="G47" s="36"/>
      <c r="H47" s="179">
        <f>D47*F47</f>
        <v>1.6</v>
      </c>
      <c r="I47" s="18"/>
    </row>
    <row r="48" spans="2:9" x14ac:dyDescent="0.25">
      <c r="B48" s="16" t="s">
        <v>32</v>
      </c>
      <c r="C48" s="8"/>
      <c r="D48" s="17"/>
      <c r="E48" s="179">
        <v>50</v>
      </c>
      <c r="F48" s="180">
        <v>4.7E-2</v>
      </c>
      <c r="G48" s="36"/>
      <c r="H48" s="179">
        <f>E48*F48</f>
        <v>2.35</v>
      </c>
      <c r="I48" s="18"/>
    </row>
    <row r="49" spans="2:9" x14ac:dyDescent="0.25">
      <c r="B49" s="16" t="s">
        <v>33</v>
      </c>
      <c r="C49" s="8"/>
      <c r="D49" s="17"/>
      <c r="E49" s="179"/>
      <c r="F49" s="180"/>
      <c r="G49" s="36"/>
      <c r="H49" s="179"/>
      <c r="I49" s="18"/>
    </row>
    <row r="50" spans="2:9" x14ac:dyDescent="0.25">
      <c r="B50" s="12" t="s">
        <v>34</v>
      </c>
      <c r="C50" s="13"/>
      <c r="D50" s="37"/>
      <c r="E50" s="37"/>
      <c r="F50" s="194"/>
      <c r="G50" s="37"/>
      <c r="H50" s="38">
        <f>SUM(H45:H49)</f>
        <v>101.59999999999998</v>
      </c>
      <c r="I50" s="32"/>
    </row>
    <row r="51" spans="2:9" x14ac:dyDescent="0.25">
      <c r="B51" s="31"/>
      <c r="C51" s="8"/>
      <c r="D51" s="17"/>
      <c r="E51" s="17"/>
      <c r="F51" s="17"/>
      <c r="G51" s="17"/>
      <c r="H51" s="22"/>
      <c r="I51" s="18"/>
    </row>
    <row r="52" spans="2:9" x14ac:dyDescent="0.25">
      <c r="B52" s="16" t="s">
        <v>35</v>
      </c>
      <c r="C52" s="181">
        <v>1400</v>
      </c>
      <c r="D52" s="19"/>
      <c r="E52" s="19"/>
      <c r="F52" s="182">
        <v>0.13</v>
      </c>
      <c r="G52" s="19"/>
      <c r="H52" s="179">
        <f>C52*F52</f>
        <v>182</v>
      </c>
      <c r="I52" s="18"/>
    </row>
    <row r="53" spans="2:9" x14ac:dyDescent="0.25">
      <c r="B53" s="16" t="s">
        <v>36</v>
      </c>
      <c r="C53" s="21"/>
      <c r="D53" s="19"/>
      <c r="E53" s="19"/>
      <c r="F53" s="190"/>
      <c r="G53" s="188"/>
      <c r="H53" s="178"/>
      <c r="I53" s="18"/>
    </row>
    <row r="54" spans="2:9" x14ac:dyDescent="0.25">
      <c r="B54" s="16" t="s">
        <v>37</v>
      </c>
      <c r="C54" s="8"/>
      <c r="D54" s="7"/>
      <c r="E54" s="8"/>
      <c r="F54" s="177"/>
      <c r="G54" s="176"/>
      <c r="H54" s="178"/>
      <c r="I54" s="18"/>
    </row>
    <row r="55" spans="2:9" x14ac:dyDescent="0.25">
      <c r="B55" s="16" t="s">
        <v>38</v>
      </c>
      <c r="C55" s="8"/>
      <c r="D55" s="20"/>
      <c r="E55" s="21"/>
      <c r="F55" s="172"/>
      <c r="G55" s="171"/>
      <c r="H55" s="178"/>
      <c r="I55" s="18"/>
    </row>
    <row r="56" spans="2:9" x14ac:dyDescent="0.25">
      <c r="B56" s="31"/>
      <c r="C56" s="8"/>
      <c r="D56" s="7"/>
      <c r="E56" s="8"/>
      <c r="F56" s="7"/>
      <c r="G56" s="8"/>
      <c r="H56" s="39"/>
      <c r="I56" s="18"/>
    </row>
    <row r="57" spans="2:9" x14ac:dyDescent="0.25">
      <c r="B57" s="12"/>
      <c r="C57" s="13"/>
      <c r="D57" s="14" t="s">
        <v>39</v>
      </c>
      <c r="E57" s="13"/>
      <c r="F57" s="28"/>
      <c r="G57" s="29"/>
      <c r="H57" s="40">
        <f>H50+H52+H53+H54+H55</f>
        <v>283.59999999999997</v>
      </c>
      <c r="I57" s="32"/>
    </row>
    <row r="58" spans="2:9" ht="15.75" thickBot="1" x14ac:dyDescent="0.3">
      <c r="B58" s="12"/>
      <c r="C58" s="13"/>
      <c r="D58" s="14" t="s">
        <v>40</v>
      </c>
      <c r="E58" s="13"/>
      <c r="F58" s="14"/>
      <c r="G58" s="29"/>
      <c r="H58" s="28"/>
      <c r="I58" s="41">
        <f>I40-H57</f>
        <v>1216.4000000000001</v>
      </c>
    </row>
    <row r="59" spans="2:9" x14ac:dyDescent="0.25">
      <c r="B59" s="31"/>
      <c r="C59" s="8"/>
      <c r="D59" s="17" t="s">
        <v>41</v>
      </c>
      <c r="E59" s="8"/>
      <c r="F59" s="7"/>
      <c r="G59" s="17" t="s">
        <v>42</v>
      </c>
      <c r="H59" s="7"/>
      <c r="I59" s="42" t="s">
        <v>43</v>
      </c>
    </row>
    <row r="60" spans="2:9" x14ac:dyDescent="0.25">
      <c r="B60" s="31"/>
      <c r="C60" s="8"/>
      <c r="D60" s="7"/>
      <c r="E60" s="8"/>
      <c r="F60" s="7"/>
      <c r="G60" s="8"/>
      <c r="H60" s="7"/>
      <c r="I60" s="18"/>
    </row>
    <row r="61" spans="2:9" ht="15.75" thickBot="1" x14ac:dyDescent="0.3">
      <c r="B61" s="43"/>
      <c r="C61" s="44"/>
      <c r="D61" s="45"/>
      <c r="E61" s="44"/>
      <c r="F61" s="45"/>
      <c r="G61" s="44"/>
      <c r="H61" s="45"/>
      <c r="I61" s="46"/>
    </row>
    <row r="62" spans="2:9" ht="15.75" thickBot="1" x14ac:dyDescent="0.3">
      <c r="B62" s="7"/>
      <c r="C62" s="8"/>
      <c r="D62" s="7"/>
      <c r="E62" s="8"/>
      <c r="F62" s="7"/>
      <c r="G62" s="8"/>
      <c r="H62" s="7"/>
      <c r="I62" s="8"/>
    </row>
    <row r="63" spans="2:9" ht="15" customHeight="1" x14ac:dyDescent="0.25">
      <c r="B63" s="372" t="s">
        <v>44</v>
      </c>
      <c r="C63" s="373"/>
      <c r="D63" s="373"/>
      <c r="E63" s="373"/>
      <c r="F63" s="373"/>
      <c r="G63" s="373"/>
      <c r="H63" s="373"/>
      <c r="I63" s="374"/>
    </row>
    <row r="64" spans="2:9" ht="15.75" thickBot="1" x14ac:dyDescent="0.3">
      <c r="B64" s="379" t="s">
        <v>45</v>
      </c>
      <c r="C64" s="380"/>
      <c r="D64" s="380"/>
      <c r="E64" s="380"/>
      <c r="F64" s="380"/>
      <c r="G64" s="380"/>
      <c r="H64" s="380"/>
      <c r="I64" s="381"/>
    </row>
    <row r="65" spans="2:9" x14ac:dyDescent="0.25">
      <c r="B65" s="16" t="s">
        <v>46</v>
      </c>
      <c r="C65" s="17"/>
      <c r="D65" s="17"/>
      <c r="E65" s="8"/>
      <c r="F65" s="7"/>
      <c r="G65" s="8"/>
      <c r="H65" s="7"/>
      <c r="I65" s="18"/>
    </row>
    <row r="66" spans="2:9" x14ac:dyDescent="0.25">
      <c r="B66" s="16" t="s">
        <v>47</v>
      </c>
      <c r="C66" s="17"/>
      <c r="D66" s="19"/>
      <c r="E66" s="183">
        <v>1350</v>
      </c>
      <c r="F66" s="47"/>
      <c r="G66" s="47"/>
      <c r="H66" s="7"/>
      <c r="I66" s="18"/>
    </row>
    <row r="67" spans="2:9" x14ac:dyDescent="0.25">
      <c r="B67" s="16" t="s">
        <v>48</v>
      </c>
      <c r="C67" s="17"/>
      <c r="D67" s="24"/>
      <c r="E67" s="184">
        <v>200</v>
      </c>
      <c r="F67" s="47"/>
      <c r="G67" s="48" t="s">
        <v>28</v>
      </c>
      <c r="H67" s="375" t="s">
        <v>49</v>
      </c>
      <c r="I67" s="376"/>
    </row>
    <row r="68" spans="2:9" x14ac:dyDescent="0.25">
      <c r="B68" s="16"/>
      <c r="C68" s="17"/>
      <c r="D68" s="49" t="s">
        <v>50</v>
      </c>
      <c r="E68" s="184">
        <f>E66+E67</f>
        <v>1550</v>
      </c>
      <c r="F68" s="47"/>
      <c r="G68" s="187">
        <v>0.23599999999999999</v>
      </c>
      <c r="H68" s="50"/>
      <c r="I68" s="195">
        <f>E68*G68</f>
        <v>365.79999999999995</v>
      </c>
    </row>
    <row r="69" spans="2:9" x14ac:dyDescent="0.25">
      <c r="B69" s="16"/>
      <c r="C69" s="17"/>
      <c r="D69" s="17"/>
      <c r="E69" s="47"/>
      <c r="F69" s="48" t="s">
        <v>51</v>
      </c>
      <c r="G69" s="193"/>
      <c r="H69" s="17"/>
      <c r="I69" s="196"/>
    </row>
    <row r="70" spans="2:9" ht="15" customHeight="1" x14ac:dyDescent="0.25">
      <c r="B70" s="377" t="s">
        <v>52</v>
      </c>
      <c r="C70" s="378"/>
      <c r="D70" s="378"/>
      <c r="E70" s="47" t="s">
        <v>53</v>
      </c>
      <c r="F70" s="183">
        <v>1600</v>
      </c>
      <c r="G70" s="185">
        <v>1.4999999999999999E-2</v>
      </c>
      <c r="H70" s="47"/>
      <c r="I70" s="195">
        <f>F70*G70</f>
        <v>24</v>
      </c>
    </row>
    <row r="71" spans="2:9" x14ac:dyDescent="0.25">
      <c r="B71" s="377"/>
      <c r="C71" s="378"/>
      <c r="D71" s="378"/>
      <c r="E71" s="47" t="s">
        <v>30</v>
      </c>
      <c r="F71" s="183">
        <v>1600</v>
      </c>
      <c r="G71" s="186">
        <v>5.5E-2</v>
      </c>
      <c r="H71" s="51"/>
      <c r="I71" s="195">
        <f t="shared" ref="I71:I75" si="0">F71*G71</f>
        <v>88</v>
      </c>
    </row>
    <row r="72" spans="2:9" x14ac:dyDescent="0.25">
      <c r="B72" s="377"/>
      <c r="C72" s="378"/>
      <c r="D72" s="378"/>
      <c r="E72" s="8" t="s">
        <v>54</v>
      </c>
      <c r="F72" s="183">
        <v>1600</v>
      </c>
      <c r="G72" s="186">
        <v>6.0000000000000001E-3</v>
      </c>
      <c r="H72" s="51"/>
      <c r="I72" s="195">
        <f t="shared" si="0"/>
        <v>9.6</v>
      </c>
    </row>
    <row r="73" spans="2:9" x14ac:dyDescent="0.25">
      <c r="B73" s="192"/>
      <c r="C73" s="191"/>
      <c r="D73" s="191"/>
      <c r="E73" s="8" t="s">
        <v>55</v>
      </c>
      <c r="F73" s="183">
        <v>1600</v>
      </c>
      <c r="G73" s="186">
        <v>2E-3</v>
      </c>
      <c r="H73" s="51"/>
      <c r="I73" s="195">
        <f t="shared" si="0"/>
        <v>3.2</v>
      </c>
    </row>
    <row r="74" spans="2:9" x14ac:dyDescent="0.25">
      <c r="B74" s="16" t="s">
        <v>56</v>
      </c>
      <c r="C74" s="17"/>
      <c r="D74" s="17"/>
      <c r="E74" s="8"/>
      <c r="F74" s="183">
        <v>50</v>
      </c>
      <c r="G74" s="186">
        <v>0.23599999999999999</v>
      </c>
      <c r="H74" s="51"/>
      <c r="I74" s="195">
        <f t="shared" si="0"/>
        <v>11.799999999999999</v>
      </c>
    </row>
    <row r="75" spans="2:9" x14ac:dyDescent="0.25">
      <c r="B75" s="16" t="s">
        <v>57</v>
      </c>
      <c r="C75" s="17"/>
      <c r="D75" s="17"/>
      <c r="E75" s="8"/>
      <c r="F75" s="184"/>
      <c r="G75" s="187"/>
      <c r="H75" s="52"/>
      <c r="I75" s="195">
        <f t="shared" si="0"/>
        <v>0</v>
      </c>
    </row>
    <row r="76" spans="2:9" ht="15.75" thickBot="1" x14ac:dyDescent="0.3">
      <c r="B76" s="16" t="s">
        <v>58</v>
      </c>
      <c r="C76" s="17"/>
      <c r="D76" s="17"/>
      <c r="E76" s="8"/>
      <c r="F76" s="184"/>
      <c r="G76" s="8"/>
      <c r="H76" s="53" t="s">
        <v>59</v>
      </c>
      <c r="I76" s="54">
        <f>SUM(I68:I75)</f>
        <v>502.4</v>
      </c>
    </row>
    <row r="77" spans="2:9" ht="15.75" thickBot="1" x14ac:dyDescent="0.3">
      <c r="B77" s="55"/>
      <c r="C77" s="56"/>
      <c r="D77" s="57"/>
      <c r="E77" s="56"/>
      <c r="F77" s="57"/>
      <c r="G77" s="56"/>
      <c r="H77" s="57"/>
      <c r="I77" s="58"/>
    </row>
    <row r="80" spans="2:9" x14ac:dyDescent="0.25">
      <c r="F80" s="108"/>
      <c r="G80" s="108"/>
    </row>
  </sheetData>
  <mergeCells count="18">
    <mergeCell ref="B2:I10"/>
    <mergeCell ref="K3:N3"/>
    <mergeCell ref="O3:R3"/>
    <mergeCell ref="K6:N6"/>
    <mergeCell ref="O6:R6"/>
    <mergeCell ref="B63:I63"/>
    <mergeCell ref="H67:I67"/>
    <mergeCell ref="B70:D72"/>
    <mergeCell ref="B64:I64"/>
    <mergeCell ref="C11:E11"/>
    <mergeCell ref="G11:I11"/>
    <mergeCell ref="C12:E12"/>
    <mergeCell ref="G12:I12"/>
    <mergeCell ref="C13:E13"/>
    <mergeCell ref="G13:I13"/>
    <mergeCell ref="C14:E14"/>
    <mergeCell ref="G14:I14"/>
    <mergeCell ref="D17:G17"/>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E80"/>
  <sheetViews>
    <sheetView topLeftCell="A63" zoomScale="110" zoomScaleNormal="110" workbookViewId="0">
      <selection activeCell="D45" sqref="D45"/>
    </sheetView>
  </sheetViews>
  <sheetFormatPr baseColWidth="10" defaultRowHeight="15" x14ac:dyDescent="0.25"/>
  <cols>
    <col min="1" max="1" width="1.140625" customWidth="1"/>
    <col min="2" max="2" width="11.5703125" style="59" customWidth="1"/>
    <col min="3" max="3" width="10" style="60" customWidth="1"/>
    <col min="4" max="4" width="11.42578125" style="59" customWidth="1"/>
    <col min="5" max="5" width="11.42578125" style="60" customWidth="1"/>
    <col min="6" max="6" width="13.7109375" style="59" customWidth="1"/>
    <col min="7" max="7" width="11.42578125" style="60" customWidth="1"/>
    <col min="8" max="8" width="12" style="59" bestFit="1" customWidth="1"/>
    <col min="9" max="9" width="12" style="60" customWidth="1"/>
    <col min="10" max="10" width="1.85546875" customWidth="1"/>
    <col min="11" max="11" width="22.85546875" customWidth="1"/>
    <col min="13" max="13" width="13.28515625" customWidth="1"/>
    <col min="14" max="14" width="13.7109375" customWidth="1"/>
  </cols>
  <sheetData>
    <row r="2" spans="2:31" x14ac:dyDescent="0.25">
      <c r="B2" s="395" t="s">
        <v>265</v>
      </c>
      <c r="C2" s="396"/>
      <c r="D2" s="396"/>
      <c r="E2" s="396"/>
      <c r="F2" s="396"/>
      <c r="G2" s="396"/>
      <c r="H2" s="396"/>
      <c r="I2" s="397"/>
    </row>
    <row r="3" spans="2:31" x14ac:dyDescent="0.25">
      <c r="B3" s="398"/>
      <c r="C3" s="389"/>
      <c r="D3" s="389"/>
      <c r="E3" s="389"/>
      <c r="F3" s="389"/>
      <c r="G3" s="389"/>
      <c r="H3" s="389"/>
      <c r="I3" s="399"/>
      <c r="K3" s="368" t="s">
        <v>169</v>
      </c>
      <c r="L3" s="369"/>
      <c r="M3" s="369"/>
      <c r="N3" s="370"/>
      <c r="O3" s="368" t="s">
        <v>236</v>
      </c>
      <c r="P3" s="369"/>
      <c r="Q3" s="369"/>
      <c r="R3" s="370"/>
    </row>
    <row r="4" spans="2:31" x14ac:dyDescent="0.25">
      <c r="B4" s="398"/>
      <c r="C4" s="389"/>
      <c r="D4" s="389"/>
      <c r="E4" s="389"/>
      <c r="F4" s="389"/>
      <c r="G4" s="389"/>
      <c r="H4" s="389"/>
      <c r="I4" s="399"/>
      <c r="K4" s="97" t="s">
        <v>170</v>
      </c>
      <c r="L4" s="97" t="s">
        <v>171</v>
      </c>
      <c r="M4" s="97" t="s">
        <v>172</v>
      </c>
      <c r="N4" s="97" t="s">
        <v>173</v>
      </c>
      <c r="O4" s="97" t="s">
        <v>170</v>
      </c>
      <c r="P4" s="97"/>
      <c r="Q4" s="97"/>
      <c r="R4" s="97" t="s">
        <v>238</v>
      </c>
    </row>
    <row r="5" spans="2:31" x14ac:dyDescent="0.25">
      <c r="B5" s="398"/>
      <c r="C5" s="389"/>
      <c r="D5" s="389"/>
      <c r="E5" s="389"/>
      <c r="F5" s="389"/>
      <c r="G5" s="389"/>
      <c r="H5" s="389"/>
      <c r="I5" s="399"/>
      <c r="K5" s="98">
        <v>1872</v>
      </c>
      <c r="L5" s="97">
        <v>2</v>
      </c>
      <c r="M5" s="98">
        <f>K5*L5</f>
        <v>3744</v>
      </c>
      <c r="N5" s="98">
        <f>M5/12</f>
        <v>312</v>
      </c>
      <c r="O5" s="98"/>
      <c r="P5" s="97"/>
      <c r="Q5" s="98"/>
      <c r="R5" s="98"/>
    </row>
    <row r="6" spans="2:31" x14ac:dyDescent="0.25">
      <c r="B6" s="398"/>
      <c r="C6" s="389"/>
      <c r="D6" s="389"/>
      <c r="E6" s="389"/>
      <c r="F6" s="389"/>
      <c r="G6" s="389"/>
      <c r="H6" s="389"/>
      <c r="I6" s="399"/>
      <c r="K6" s="368" t="s">
        <v>181</v>
      </c>
      <c r="L6" s="369"/>
      <c r="M6" s="369"/>
      <c r="N6" s="370"/>
      <c r="O6" s="368" t="s">
        <v>182</v>
      </c>
      <c r="P6" s="369"/>
      <c r="Q6" s="369"/>
      <c r="R6" s="370"/>
    </row>
    <row r="7" spans="2:31" x14ac:dyDescent="0.25">
      <c r="B7" s="398"/>
      <c r="C7" s="389"/>
      <c r="D7" s="389"/>
      <c r="E7" s="389"/>
      <c r="F7" s="389"/>
      <c r="G7" s="389"/>
      <c r="H7" s="389"/>
      <c r="I7" s="399"/>
      <c r="K7" s="98"/>
      <c r="L7" s="97"/>
      <c r="M7" s="98"/>
      <c r="N7" s="98"/>
      <c r="O7" s="98" t="s">
        <v>291</v>
      </c>
      <c r="P7" s="97" t="s">
        <v>292</v>
      </c>
      <c r="Q7" s="98" t="s">
        <v>242</v>
      </c>
      <c r="R7" s="98" t="s">
        <v>293</v>
      </c>
    </row>
    <row r="8" spans="2:31" x14ac:dyDescent="0.25">
      <c r="B8" s="398"/>
      <c r="C8" s="389"/>
      <c r="D8" s="389"/>
      <c r="E8" s="389"/>
      <c r="F8" s="389"/>
      <c r="G8" s="389"/>
      <c r="H8" s="389"/>
      <c r="I8" s="399"/>
      <c r="O8" s="98">
        <v>250</v>
      </c>
      <c r="P8" s="97" t="s">
        <v>294</v>
      </c>
      <c r="Q8" s="97">
        <v>436.6</v>
      </c>
      <c r="R8" s="98">
        <v>0</v>
      </c>
    </row>
    <row r="9" spans="2:31" x14ac:dyDescent="0.25">
      <c r="B9" s="398"/>
      <c r="C9" s="389"/>
      <c r="D9" s="389"/>
      <c r="E9" s="389"/>
      <c r="F9" s="389"/>
      <c r="G9" s="389"/>
      <c r="H9" s="389"/>
      <c r="I9" s="399"/>
      <c r="O9" s="214">
        <v>100</v>
      </c>
      <c r="P9" s="97" t="s">
        <v>295</v>
      </c>
      <c r="Q9" s="97">
        <v>359.5</v>
      </c>
      <c r="R9" s="97">
        <f>100-0.19*Q9</f>
        <v>31.694999999999993</v>
      </c>
      <c r="S9" s="215"/>
    </row>
    <row r="10" spans="2:31" ht="15.75" thickBot="1" x14ac:dyDescent="0.3">
      <c r="B10" s="400"/>
      <c r="C10" s="401"/>
      <c r="D10" s="401"/>
      <c r="E10" s="401"/>
      <c r="F10" s="401"/>
      <c r="G10" s="401"/>
      <c r="H10" s="401"/>
      <c r="I10" s="402"/>
    </row>
    <row r="11" spans="2:31" x14ac:dyDescent="0.25">
      <c r="B11" s="1" t="s">
        <v>0</v>
      </c>
      <c r="C11" s="383" t="s">
        <v>285</v>
      </c>
      <c r="D11" s="383"/>
      <c r="E11" s="383"/>
      <c r="F11" s="2" t="s">
        <v>1</v>
      </c>
      <c r="G11" s="383" t="s">
        <v>281</v>
      </c>
      <c r="H11" s="383"/>
      <c r="I11" s="384"/>
    </row>
    <row r="12" spans="2:31" ht="15" customHeight="1" thickBot="1" x14ac:dyDescent="0.3">
      <c r="B12" s="3" t="s">
        <v>2</v>
      </c>
      <c r="C12" s="357"/>
      <c r="D12" s="357"/>
      <c r="E12" s="357"/>
      <c r="F12" s="4" t="s">
        <v>3</v>
      </c>
      <c r="G12" s="357"/>
      <c r="H12" s="357"/>
      <c r="I12" s="358"/>
      <c r="S12" s="96"/>
      <c r="T12" s="96"/>
    </row>
    <row r="13" spans="2:31" x14ac:dyDescent="0.25">
      <c r="B13" s="3" t="s">
        <v>4</v>
      </c>
      <c r="C13" s="357"/>
      <c r="D13" s="357"/>
      <c r="E13" s="357"/>
      <c r="F13" s="4" t="s">
        <v>5</v>
      </c>
      <c r="G13" s="357"/>
      <c r="H13" s="357"/>
      <c r="I13" s="358"/>
      <c r="K13" s="99" t="s">
        <v>174</v>
      </c>
      <c r="L13" s="100"/>
      <c r="M13" s="100"/>
      <c r="N13" s="100"/>
      <c r="O13" s="100"/>
      <c r="P13" s="100"/>
      <c r="Q13" s="101"/>
      <c r="S13" s="96"/>
      <c r="T13" s="96"/>
      <c r="W13" s="96"/>
      <c r="X13" s="96"/>
      <c r="Y13" s="96"/>
      <c r="Z13" s="96"/>
      <c r="AA13" s="96"/>
      <c r="AB13" s="96"/>
      <c r="AC13" s="96"/>
      <c r="AD13" s="96"/>
      <c r="AE13" s="96"/>
    </row>
    <row r="14" spans="2:31" x14ac:dyDescent="0.25">
      <c r="B14" s="3" t="s">
        <v>6</v>
      </c>
      <c r="C14" s="357"/>
      <c r="D14" s="357"/>
      <c r="E14" s="357"/>
      <c r="F14" s="5" t="s">
        <v>7</v>
      </c>
      <c r="G14" s="357" t="s">
        <v>287</v>
      </c>
      <c r="H14" s="357"/>
      <c r="I14" s="358"/>
      <c r="K14" s="102" t="s">
        <v>175</v>
      </c>
      <c r="Q14" s="103"/>
    </row>
    <row r="15" spans="2:31" ht="15.75" thickBot="1" x14ac:dyDescent="0.3">
      <c r="B15" s="113"/>
      <c r="C15" s="115"/>
      <c r="D15" s="115"/>
      <c r="E15" s="115"/>
      <c r="F15" s="6" t="s">
        <v>8</v>
      </c>
      <c r="G15" s="116"/>
      <c r="H15" s="117">
        <v>3</v>
      </c>
      <c r="I15" s="114"/>
      <c r="K15" s="102" t="s">
        <v>176</v>
      </c>
      <c r="Q15" s="103"/>
    </row>
    <row r="16" spans="2:31" ht="15.75" thickBot="1" x14ac:dyDescent="0.3">
      <c r="B16" s="7"/>
      <c r="C16" s="8"/>
      <c r="D16" s="7"/>
      <c r="E16" s="8"/>
      <c r="F16" s="7"/>
      <c r="G16" s="8"/>
      <c r="H16" s="7"/>
      <c r="I16" s="8"/>
      <c r="K16" s="165"/>
      <c r="L16" s="166" t="s">
        <v>177</v>
      </c>
      <c r="Q16" s="103"/>
    </row>
    <row r="17" spans="2:17" x14ac:dyDescent="0.25">
      <c r="B17" s="9" t="s">
        <v>9</v>
      </c>
      <c r="C17" s="10"/>
      <c r="D17" s="382" t="s">
        <v>286</v>
      </c>
      <c r="E17" s="382"/>
      <c r="F17" s="382"/>
      <c r="G17" s="382"/>
      <c r="H17" s="11" t="s">
        <v>10</v>
      </c>
      <c r="I17" s="168">
        <v>31</v>
      </c>
      <c r="K17" s="165"/>
      <c r="L17" s="166" t="s">
        <v>178</v>
      </c>
      <c r="Q17" s="103"/>
    </row>
    <row r="18" spans="2:17" x14ac:dyDescent="0.25">
      <c r="B18" s="12" t="s">
        <v>11</v>
      </c>
      <c r="C18" s="13"/>
      <c r="D18" s="14"/>
      <c r="E18" s="13"/>
      <c r="F18" s="14"/>
      <c r="G18" s="13"/>
      <c r="H18" s="14"/>
      <c r="I18" s="15" t="s">
        <v>12</v>
      </c>
      <c r="K18" s="165"/>
      <c r="L18" s="166" t="s">
        <v>179</v>
      </c>
      <c r="Q18" s="103"/>
    </row>
    <row r="19" spans="2:17" ht="15.75" thickBot="1" x14ac:dyDescent="0.3">
      <c r="B19" s="95" t="s">
        <v>13</v>
      </c>
      <c r="C19" s="17"/>
      <c r="D19" s="7"/>
      <c r="E19" s="8"/>
      <c r="F19" s="7"/>
      <c r="G19" s="8"/>
      <c r="H19" s="7"/>
      <c r="I19" s="18"/>
      <c r="K19" s="107"/>
      <c r="L19" s="111" t="s">
        <v>180</v>
      </c>
      <c r="M19" s="104"/>
      <c r="N19" s="104"/>
      <c r="O19" s="104"/>
      <c r="P19" s="104"/>
      <c r="Q19" s="105"/>
    </row>
    <row r="20" spans="2:17" x14ac:dyDescent="0.25">
      <c r="B20" s="16" t="s">
        <v>14</v>
      </c>
      <c r="C20" s="19"/>
      <c r="D20" s="20"/>
      <c r="E20" s="21"/>
      <c r="F20" s="20"/>
      <c r="G20" s="21"/>
      <c r="H20" s="179">
        <v>1872</v>
      </c>
      <c r="I20" s="18"/>
    </row>
    <row r="21" spans="2:17" x14ac:dyDescent="0.25">
      <c r="B21" s="16" t="s">
        <v>15</v>
      </c>
      <c r="C21" s="17"/>
      <c r="D21" s="7"/>
      <c r="E21" s="8"/>
      <c r="F21" s="7"/>
      <c r="G21" s="8"/>
      <c r="H21" s="173"/>
      <c r="I21" s="18"/>
    </row>
    <row r="22" spans="2:17" x14ac:dyDescent="0.25">
      <c r="B22" s="169" t="s">
        <v>288</v>
      </c>
      <c r="C22" s="170"/>
      <c r="D22" s="170"/>
      <c r="E22" s="171"/>
      <c r="F22" s="172"/>
      <c r="G22" s="171"/>
      <c r="H22" s="173">
        <v>96</v>
      </c>
      <c r="I22" s="18"/>
    </row>
    <row r="23" spans="2:17" x14ac:dyDescent="0.25">
      <c r="B23" s="174"/>
      <c r="C23" s="175"/>
      <c r="D23" s="175"/>
      <c r="E23" s="176"/>
      <c r="F23" s="177"/>
      <c r="G23" s="176"/>
      <c r="H23" s="178"/>
      <c r="I23" s="18"/>
    </row>
    <row r="24" spans="2:17" x14ac:dyDescent="0.25">
      <c r="B24" s="169"/>
      <c r="C24" s="23"/>
      <c r="D24" s="23"/>
      <c r="E24" s="24"/>
      <c r="F24" s="25"/>
      <c r="G24" s="24"/>
      <c r="H24" s="173"/>
      <c r="I24" s="18"/>
    </row>
    <row r="25" spans="2:17" x14ac:dyDescent="0.25">
      <c r="B25" s="16" t="s">
        <v>16</v>
      </c>
      <c r="C25" s="17"/>
      <c r="D25" s="26"/>
      <c r="E25" s="24"/>
      <c r="F25" s="25"/>
      <c r="G25" s="24"/>
      <c r="H25" s="178">
        <v>220</v>
      </c>
      <c r="I25" s="18"/>
    </row>
    <row r="26" spans="2:17" x14ac:dyDescent="0.25">
      <c r="B26" s="16" t="s">
        <v>17</v>
      </c>
      <c r="C26" s="17"/>
      <c r="D26" s="25"/>
      <c r="E26" s="24"/>
      <c r="F26" s="25"/>
      <c r="G26" s="24"/>
      <c r="H26" s="178"/>
      <c r="I26" s="18"/>
    </row>
    <row r="27" spans="2:17" x14ac:dyDescent="0.25">
      <c r="B27" s="16" t="s">
        <v>18</v>
      </c>
      <c r="C27" s="17"/>
      <c r="D27" s="7"/>
      <c r="E27" s="24"/>
      <c r="F27" s="25"/>
      <c r="G27" s="24"/>
      <c r="H27" s="178"/>
      <c r="I27" s="18"/>
    </row>
    <row r="28" spans="2:17" x14ac:dyDescent="0.25">
      <c r="B28" s="16" t="s">
        <v>19</v>
      </c>
      <c r="C28" s="17"/>
      <c r="D28" s="20"/>
      <c r="E28" s="24"/>
      <c r="F28" s="25"/>
      <c r="G28" s="24"/>
      <c r="H28" s="178"/>
      <c r="I28" s="18"/>
    </row>
    <row r="29" spans="2:17" x14ac:dyDescent="0.25">
      <c r="B29" s="95" t="s">
        <v>20</v>
      </c>
      <c r="C29" s="17"/>
      <c r="D29" s="7"/>
      <c r="E29" s="8"/>
      <c r="F29" s="7"/>
      <c r="G29" s="8"/>
      <c r="H29" s="173"/>
      <c r="I29" s="18"/>
    </row>
    <row r="30" spans="2:17" x14ac:dyDescent="0.25">
      <c r="B30" s="16" t="s">
        <v>21</v>
      </c>
      <c r="C30" s="17"/>
      <c r="D30" s="7"/>
      <c r="E30" s="8"/>
      <c r="F30" s="7"/>
      <c r="G30" s="8"/>
      <c r="H30" s="173"/>
      <c r="I30" s="18"/>
    </row>
    <row r="31" spans="2:17" x14ac:dyDescent="0.25">
      <c r="B31" s="169" t="s">
        <v>289</v>
      </c>
      <c r="C31" s="23"/>
      <c r="D31" s="23"/>
      <c r="E31" s="21"/>
      <c r="F31" s="20"/>
      <c r="G31" s="21"/>
      <c r="H31" s="179">
        <v>80</v>
      </c>
      <c r="I31" s="18"/>
    </row>
    <row r="32" spans="2:17" x14ac:dyDescent="0.25">
      <c r="B32" s="169" t="s">
        <v>290</v>
      </c>
      <c r="C32" s="23"/>
      <c r="D32" s="23"/>
      <c r="E32" s="21"/>
      <c r="F32" s="20"/>
      <c r="G32" s="21"/>
      <c r="H32" s="179">
        <v>350</v>
      </c>
      <c r="I32" s="18"/>
    </row>
    <row r="33" spans="2:9" x14ac:dyDescent="0.25">
      <c r="B33" s="16" t="s">
        <v>22</v>
      </c>
      <c r="C33" s="17"/>
      <c r="D33" s="7"/>
      <c r="E33" s="8"/>
      <c r="F33" s="7"/>
      <c r="G33" s="8"/>
      <c r="H33" s="189"/>
      <c r="I33" s="18"/>
    </row>
    <row r="34" spans="2:9" x14ac:dyDescent="0.25">
      <c r="B34" s="169"/>
      <c r="C34" s="23"/>
      <c r="D34" s="23"/>
      <c r="E34" s="21"/>
      <c r="F34" s="20"/>
      <c r="G34" s="21"/>
      <c r="H34" s="179"/>
      <c r="I34" s="18"/>
    </row>
    <row r="35" spans="2:9" x14ac:dyDescent="0.25">
      <c r="B35" s="16" t="s">
        <v>23</v>
      </c>
      <c r="C35" s="17"/>
      <c r="D35" s="7"/>
      <c r="E35" s="8"/>
      <c r="F35" s="7"/>
      <c r="G35" s="8"/>
      <c r="H35" s="173"/>
      <c r="I35" s="18"/>
    </row>
    <row r="36" spans="2:9" x14ac:dyDescent="0.25">
      <c r="B36" s="169"/>
      <c r="C36" s="23"/>
      <c r="D36" s="27"/>
      <c r="E36" s="21"/>
      <c r="F36" s="20"/>
      <c r="G36" s="21"/>
      <c r="H36" s="179"/>
      <c r="I36" s="18"/>
    </row>
    <row r="37" spans="2:9" x14ac:dyDescent="0.25">
      <c r="B37" s="16" t="s">
        <v>24</v>
      </c>
      <c r="C37" s="17"/>
      <c r="D37" s="7"/>
      <c r="E37" s="8"/>
      <c r="F37" s="7"/>
      <c r="G37" s="8"/>
      <c r="H37" s="189"/>
      <c r="I37" s="18"/>
    </row>
    <row r="38" spans="2:9" x14ac:dyDescent="0.25">
      <c r="B38" s="169"/>
      <c r="C38" s="23"/>
      <c r="D38" s="23"/>
      <c r="E38" s="21"/>
      <c r="F38" s="20"/>
      <c r="G38" s="21"/>
      <c r="H38" s="179"/>
      <c r="I38" s="18"/>
    </row>
    <row r="39" spans="2:9" x14ac:dyDescent="0.25">
      <c r="B39" s="169"/>
      <c r="C39" s="23"/>
      <c r="D39" s="23"/>
      <c r="E39" s="21"/>
      <c r="F39" s="20"/>
      <c r="G39" s="21"/>
      <c r="H39" s="179"/>
      <c r="I39" s="18"/>
    </row>
    <row r="40" spans="2:9" ht="15.75" thickBot="1" x14ac:dyDescent="0.3">
      <c r="B40" s="12"/>
      <c r="C40" s="13"/>
      <c r="D40" s="14" t="s">
        <v>25</v>
      </c>
      <c r="E40" s="13"/>
      <c r="F40" s="28"/>
      <c r="G40" s="29"/>
      <c r="H40" s="28"/>
      <c r="I40" s="30">
        <f>SUM(H20:H39)</f>
        <v>2618</v>
      </c>
    </row>
    <row r="41" spans="2:9" x14ac:dyDescent="0.25">
      <c r="B41" s="31"/>
      <c r="C41" s="8"/>
      <c r="D41" s="7"/>
      <c r="E41" s="8"/>
      <c r="F41" s="7"/>
      <c r="G41" s="8"/>
      <c r="H41" s="7"/>
      <c r="I41" s="18"/>
    </row>
    <row r="42" spans="2:9" x14ac:dyDescent="0.25">
      <c r="B42" s="12" t="s">
        <v>26</v>
      </c>
      <c r="C42" s="13"/>
      <c r="D42" s="14"/>
      <c r="E42" s="13"/>
      <c r="F42" s="14"/>
      <c r="G42" s="13"/>
      <c r="H42" s="14"/>
      <c r="I42" s="32"/>
    </row>
    <row r="43" spans="2:9" x14ac:dyDescent="0.25">
      <c r="B43" s="12" t="s">
        <v>27</v>
      </c>
      <c r="C43" s="13"/>
      <c r="D43" s="14"/>
      <c r="E43" s="13"/>
      <c r="F43" s="14"/>
      <c r="G43" s="13"/>
      <c r="H43" s="14"/>
      <c r="I43" s="32"/>
    </row>
    <row r="44" spans="2:9" x14ac:dyDescent="0.25">
      <c r="B44" s="31"/>
      <c r="C44" s="8"/>
      <c r="D44" s="7"/>
      <c r="E44" s="8"/>
      <c r="F44" s="33" t="s">
        <v>28</v>
      </c>
      <c r="G44" s="8"/>
      <c r="H44" s="7"/>
      <c r="I44" s="18"/>
    </row>
    <row r="45" spans="2:9" x14ac:dyDescent="0.25">
      <c r="B45" s="16" t="s">
        <v>29</v>
      </c>
      <c r="C45" s="8"/>
      <c r="D45" s="179">
        <v>2311.6999999999998</v>
      </c>
      <c r="E45" s="34"/>
      <c r="F45" s="180">
        <v>4.7E-2</v>
      </c>
      <c r="G45" s="19"/>
      <c r="H45" s="179">
        <f>D45*F45</f>
        <v>108.64989999999999</v>
      </c>
      <c r="I45" s="18"/>
    </row>
    <row r="46" spans="2:9" x14ac:dyDescent="0.25">
      <c r="B46" s="16" t="s">
        <v>30</v>
      </c>
      <c r="C46" s="21"/>
      <c r="D46" s="179">
        <f>D45+E48+E49</f>
        <v>2531.6999999999998</v>
      </c>
      <c r="E46" s="35"/>
      <c r="F46" s="180">
        <v>1.6E-2</v>
      </c>
      <c r="G46" s="36"/>
      <c r="H46" s="179">
        <f t="shared" ref="H46:H47" si="0">D46*F46</f>
        <v>40.507199999999997</v>
      </c>
      <c r="I46" s="18"/>
    </row>
    <row r="47" spans="2:9" x14ac:dyDescent="0.25">
      <c r="B47" s="16" t="s">
        <v>31</v>
      </c>
      <c r="C47" s="8"/>
      <c r="D47" s="179">
        <v>2531.6999999999998</v>
      </c>
      <c r="E47" s="35"/>
      <c r="F47" s="180">
        <v>1E-3</v>
      </c>
      <c r="G47" s="36"/>
      <c r="H47" s="179">
        <f t="shared" si="0"/>
        <v>2.5316999999999998</v>
      </c>
      <c r="I47" s="18"/>
    </row>
    <row r="48" spans="2:9" x14ac:dyDescent="0.25">
      <c r="B48" s="16" t="s">
        <v>32</v>
      </c>
      <c r="C48" s="8"/>
      <c r="D48" s="17"/>
      <c r="E48" s="179">
        <v>180</v>
      </c>
      <c r="F48" s="180">
        <v>4.7E-2</v>
      </c>
      <c r="G48" s="36"/>
      <c r="H48" s="179">
        <f>E48*F48</f>
        <v>8.4600000000000009</v>
      </c>
      <c r="I48" s="18"/>
    </row>
    <row r="49" spans="2:11" x14ac:dyDescent="0.25">
      <c r="B49" s="16" t="s">
        <v>33</v>
      </c>
      <c r="C49" s="8"/>
      <c r="D49" s="17"/>
      <c r="E49" s="179">
        <v>40</v>
      </c>
      <c r="F49" s="180">
        <v>0.02</v>
      </c>
      <c r="G49" s="36"/>
      <c r="H49" s="179">
        <f>E49*F49</f>
        <v>0.8</v>
      </c>
      <c r="I49" s="18"/>
    </row>
    <row r="50" spans="2:11" x14ac:dyDescent="0.25">
      <c r="B50" s="12" t="s">
        <v>34</v>
      </c>
      <c r="C50" s="13"/>
      <c r="D50" s="37"/>
      <c r="E50" s="37"/>
      <c r="F50" s="194"/>
      <c r="G50" s="37"/>
      <c r="H50" s="38">
        <f>SUM(H45:H49)</f>
        <v>160.94880000000001</v>
      </c>
      <c r="I50" s="32"/>
    </row>
    <row r="51" spans="2:11" x14ac:dyDescent="0.25">
      <c r="B51" s="31"/>
      <c r="C51" s="8"/>
      <c r="D51" s="17"/>
      <c r="E51" s="17"/>
      <c r="F51" s="17"/>
      <c r="G51" s="17"/>
      <c r="H51" s="22"/>
      <c r="I51" s="18"/>
    </row>
    <row r="52" spans="2:11" x14ac:dyDescent="0.25">
      <c r="B52" s="16" t="s">
        <v>35</v>
      </c>
      <c r="C52" s="181">
        <f>I40-H32-H31+R9</f>
        <v>2219.6950000000002</v>
      </c>
      <c r="D52" s="19"/>
      <c r="E52" s="19"/>
      <c r="F52" s="182">
        <v>0.14000000000000001</v>
      </c>
      <c r="G52" s="19"/>
      <c r="H52" s="179">
        <f>C52*F52</f>
        <v>310.75730000000004</v>
      </c>
      <c r="I52" s="18"/>
      <c r="K52" s="181"/>
    </row>
    <row r="53" spans="2:11" x14ac:dyDescent="0.25">
      <c r="B53" s="16" t="s">
        <v>36</v>
      </c>
      <c r="C53" s="21"/>
      <c r="D53" s="19"/>
      <c r="E53" s="19"/>
      <c r="F53" s="190"/>
      <c r="G53" s="188"/>
      <c r="H53" s="178"/>
      <c r="I53" s="18"/>
    </row>
    <row r="54" spans="2:11" x14ac:dyDescent="0.25">
      <c r="B54" s="16" t="s">
        <v>37</v>
      </c>
      <c r="C54" s="8"/>
      <c r="D54" s="7"/>
      <c r="E54" s="8"/>
      <c r="F54" s="177"/>
      <c r="G54" s="176"/>
      <c r="H54" s="178"/>
      <c r="I54" s="18"/>
    </row>
    <row r="55" spans="2:11" x14ac:dyDescent="0.25">
      <c r="B55" s="16" t="s">
        <v>38</v>
      </c>
      <c r="C55" s="8"/>
      <c r="D55" s="20"/>
      <c r="E55" s="21"/>
      <c r="F55" s="172"/>
      <c r="G55" s="171"/>
      <c r="H55" s="178"/>
      <c r="I55" s="18"/>
    </row>
    <row r="56" spans="2:11" x14ac:dyDescent="0.25">
      <c r="B56" s="31"/>
      <c r="C56" s="8"/>
      <c r="D56" s="7"/>
      <c r="E56" s="8"/>
      <c r="F56" s="7"/>
      <c r="G56" s="8"/>
      <c r="H56" s="39"/>
      <c r="I56" s="18"/>
    </row>
    <row r="57" spans="2:11" x14ac:dyDescent="0.25">
      <c r="B57" s="12"/>
      <c r="C57" s="13"/>
      <c r="D57" s="14" t="s">
        <v>39</v>
      </c>
      <c r="E57" s="13"/>
      <c r="F57" s="28"/>
      <c r="G57" s="29"/>
      <c r="H57" s="40">
        <f>H50+H52+H53+H54+H55</f>
        <v>471.70610000000005</v>
      </c>
      <c r="I57" s="32"/>
    </row>
    <row r="58" spans="2:11" ht="15.75" thickBot="1" x14ac:dyDescent="0.3">
      <c r="B58" s="12"/>
      <c r="C58" s="13"/>
      <c r="D58" s="14" t="s">
        <v>40</v>
      </c>
      <c r="E58" s="13"/>
      <c r="F58" s="14"/>
      <c r="G58" s="29"/>
      <c r="H58" s="28"/>
      <c r="I58" s="41">
        <f>I40-H57</f>
        <v>2146.2939000000001</v>
      </c>
    </row>
    <row r="59" spans="2:11" x14ac:dyDescent="0.25">
      <c r="B59" s="31"/>
      <c r="C59" s="8"/>
      <c r="D59" s="17" t="s">
        <v>41</v>
      </c>
      <c r="E59" s="8"/>
      <c r="F59" s="7"/>
      <c r="G59" s="17" t="s">
        <v>42</v>
      </c>
      <c r="H59" s="7"/>
      <c r="I59" s="42" t="s">
        <v>43</v>
      </c>
    </row>
    <row r="60" spans="2:11" x14ac:dyDescent="0.25">
      <c r="B60" s="31"/>
      <c r="C60" s="8"/>
      <c r="D60" s="7"/>
      <c r="E60" s="8"/>
      <c r="F60" s="7"/>
      <c r="G60" s="8"/>
      <c r="H60" s="7"/>
      <c r="I60" s="18"/>
    </row>
    <row r="61" spans="2:11" ht="15.75" thickBot="1" x14ac:dyDescent="0.3">
      <c r="B61" s="43"/>
      <c r="C61" s="44"/>
      <c r="D61" s="45"/>
      <c r="E61" s="44"/>
      <c r="F61" s="45"/>
      <c r="G61" s="44"/>
      <c r="H61" s="45"/>
      <c r="I61" s="46"/>
    </row>
    <row r="62" spans="2:11" ht="15.75" thickBot="1" x14ac:dyDescent="0.3">
      <c r="B62" s="7"/>
      <c r="C62" s="8"/>
      <c r="D62" s="7"/>
      <c r="E62" s="8"/>
      <c r="F62" s="7"/>
      <c r="G62" s="8"/>
      <c r="H62" s="7"/>
      <c r="I62" s="8"/>
    </row>
    <row r="63" spans="2:11" ht="15" customHeight="1" x14ac:dyDescent="0.25">
      <c r="B63" s="372" t="s">
        <v>44</v>
      </c>
      <c r="C63" s="373"/>
      <c r="D63" s="373"/>
      <c r="E63" s="373"/>
      <c r="F63" s="373"/>
      <c r="G63" s="373"/>
      <c r="H63" s="373"/>
      <c r="I63" s="374"/>
    </row>
    <row r="64" spans="2:11" ht="15.75" thickBot="1" x14ac:dyDescent="0.3">
      <c r="B64" s="379" t="s">
        <v>45</v>
      </c>
      <c r="C64" s="380"/>
      <c r="D64" s="380"/>
      <c r="E64" s="380"/>
      <c r="F64" s="380"/>
      <c r="G64" s="380"/>
      <c r="H64" s="380"/>
      <c r="I64" s="381"/>
    </row>
    <row r="65" spans="2:10" x14ac:dyDescent="0.25">
      <c r="B65" s="16" t="s">
        <v>46</v>
      </c>
      <c r="C65" s="17"/>
      <c r="D65" s="17"/>
      <c r="E65" s="8"/>
      <c r="F65" s="7"/>
      <c r="G65" s="8"/>
      <c r="H65" s="7"/>
      <c r="I65" s="18"/>
    </row>
    <row r="66" spans="2:10" x14ac:dyDescent="0.25">
      <c r="B66" s="16" t="s">
        <v>47</v>
      </c>
      <c r="C66" s="17"/>
      <c r="D66" s="19"/>
      <c r="E66" s="183">
        <f>E68-E67</f>
        <v>1999.6999999999998</v>
      </c>
      <c r="F66" s="47"/>
      <c r="G66" s="47"/>
      <c r="H66" s="7"/>
      <c r="I66" s="18"/>
    </row>
    <row r="67" spans="2:10" x14ac:dyDescent="0.25">
      <c r="B67" s="16" t="s">
        <v>48</v>
      </c>
      <c r="C67" s="17"/>
      <c r="D67" s="24"/>
      <c r="E67" s="184">
        <v>312</v>
      </c>
      <c r="F67" s="47"/>
      <c r="G67" s="48" t="s">
        <v>28</v>
      </c>
      <c r="H67" s="375" t="s">
        <v>49</v>
      </c>
      <c r="I67" s="376"/>
    </row>
    <row r="68" spans="2:10" x14ac:dyDescent="0.25">
      <c r="B68" s="16"/>
      <c r="C68" s="17"/>
      <c r="D68" s="49" t="s">
        <v>50</v>
      </c>
      <c r="E68" s="184">
        <v>2311.6999999999998</v>
      </c>
      <c r="F68" s="47"/>
      <c r="G68" s="187">
        <v>0.23599999999999999</v>
      </c>
      <c r="H68" s="50"/>
      <c r="I68" s="195">
        <f>E68*G68</f>
        <v>545.56119999999987</v>
      </c>
    </row>
    <row r="69" spans="2:10" x14ac:dyDescent="0.25">
      <c r="B69" s="16"/>
      <c r="C69" s="17"/>
      <c r="D69" s="17"/>
      <c r="E69" s="47"/>
      <c r="F69" s="48" t="s">
        <v>51</v>
      </c>
      <c r="G69" s="193"/>
      <c r="H69" s="17"/>
      <c r="I69" s="196"/>
    </row>
    <row r="70" spans="2:10" ht="15" customHeight="1" x14ac:dyDescent="0.25">
      <c r="B70" s="377" t="s">
        <v>52</v>
      </c>
      <c r="C70" s="378"/>
      <c r="D70" s="378"/>
      <c r="E70" s="47" t="s">
        <v>53</v>
      </c>
      <c r="F70" s="183">
        <v>2531.6999999999998</v>
      </c>
      <c r="G70" s="185">
        <v>1.4999999999999999E-2</v>
      </c>
      <c r="H70" s="47"/>
      <c r="I70" s="195">
        <f>F70*G70</f>
        <v>37.975499999999997</v>
      </c>
    </row>
    <row r="71" spans="2:10" x14ac:dyDescent="0.25">
      <c r="B71" s="377"/>
      <c r="C71" s="378"/>
      <c r="D71" s="378"/>
      <c r="E71" s="47" t="s">
        <v>30</v>
      </c>
      <c r="F71" s="183">
        <v>2531.6999999999998</v>
      </c>
      <c r="G71" s="186">
        <v>6.7000000000000004E-2</v>
      </c>
      <c r="H71" s="51"/>
      <c r="I71" s="195">
        <f t="shared" ref="I71:I75" si="1">F71*G71</f>
        <v>169.62389999999999</v>
      </c>
    </row>
    <row r="72" spans="2:10" x14ac:dyDescent="0.25">
      <c r="B72" s="377"/>
      <c r="C72" s="378"/>
      <c r="D72" s="378"/>
      <c r="E72" s="8" t="s">
        <v>54</v>
      </c>
      <c r="F72" s="183">
        <v>2531.6999999999998</v>
      </c>
      <c r="G72" s="186">
        <v>6.0000000000000001E-3</v>
      </c>
      <c r="H72" s="51"/>
      <c r="I72" s="195">
        <f t="shared" si="1"/>
        <v>15.190199999999999</v>
      </c>
    </row>
    <row r="73" spans="2:10" x14ac:dyDescent="0.25">
      <c r="B73" s="192"/>
      <c r="C73" s="191"/>
      <c r="D73" s="191"/>
      <c r="E73" s="8" t="s">
        <v>55</v>
      </c>
      <c r="F73" s="183">
        <v>2531.6999999999998</v>
      </c>
      <c r="G73" s="186">
        <v>2E-3</v>
      </c>
      <c r="H73" s="51"/>
      <c r="I73" s="195">
        <f t="shared" si="1"/>
        <v>5.0633999999999997</v>
      </c>
    </row>
    <row r="74" spans="2:10" x14ac:dyDescent="0.25">
      <c r="B74" s="16" t="s">
        <v>56</v>
      </c>
      <c r="C74" s="17"/>
      <c r="D74" s="17"/>
      <c r="E74" s="8"/>
      <c r="F74" s="183">
        <v>180</v>
      </c>
      <c r="G74" s="186">
        <v>0.23599999999999999</v>
      </c>
      <c r="H74" s="51"/>
      <c r="I74" s="197">
        <f t="shared" si="1"/>
        <v>42.48</v>
      </c>
    </row>
    <row r="75" spans="2:10" x14ac:dyDescent="0.25">
      <c r="B75" s="16" t="s">
        <v>57</v>
      </c>
      <c r="C75" s="17"/>
      <c r="D75" s="17"/>
      <c r="E75" s="8"/>
      <c r="F75" s="184">
        <v>40</v>
      </c>
      <c r="G75" s="187">
        <v>0.12</v>
      </c>
      <c r="H75" s="52"/>
      <c r="I75" s="197">
        <f t="shared" si="1"/>
        <v>4.8</v>
      </c>
    </row>
    <row r="76" spans="2:10" ht="15.75" thickBot="1" x14ac:dyDescent="0.3">
      <c r="B76" s="16" t="s">
        <v>58</v>
      </c>
      <c r="C76" s="17"/>
      <c r="D76" s="17"/>
      <c r="E76" s="8"/>
      <c r="F76" s="184"/>
      <c r="G76" s="8"/>
      <c r="H76" s="53" t="s">
        <v>59</v>
      </c>
      <c r="I76" s="54">
        <f>SUM(I68:I75)</f>
        <v>820.69419999999991</v>
      </c>
    </row>
    <row r="77" spans="2:10" ht="15.75" thickBot="1" x14ac:dyDescent="0.3">
      <c r="B77" s="55"/>
      <c r="C77" s="56"/>
      <c r="D77" s="57"/>
      <c r="E77" s="56"/>
      <c r="F77" s="57"/>
      <c r="G77" s="56"/>
      <c r="H77" s="57"/>
      <c r="I77" s="58"/>
    </row>
    <row r="80" spans="2:10" x14ac:dyDescent="0.25">
      <c r="F80" s="108"/>
      <c r="G80" s="108"/>
      <c r="J80" s="60"/>
    </row>
  </sheetData>
  <mergeCells count="18">
    <mergeCell ref="K3:N3"/>
    <mergeCell ref="O3:R3"/>
    <mergeCell ref="K6:N6"/>
    <mergeCell ref="O6:R6"/>
    <mergeCell ref="C11:E11"/>
    <mergeCell ref="G11:I11"/>
    <mergeCell ref="D17:G17"/>
    <mergeCell ref="B2:I10"/>
    <mergeCell ref="B63:I63"/>
    <mergeCell ref="H67:I67"/>
    <mergeCell ref="B70:D72"/>
    <mergeCell ref="B64:I64"/>
    <mergeCell ref="C12:E12"/>
    <mergeCell ref="G12:I12"/>
    <mergeCell ref="C13:E13"/>
    <mergeCell ref="G13:I13"/>
    <mergeCell ref="C14:E14"/>
    <mergeCell ref="G14:I14"/>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G80"/>
  <sheetViews>
    <sheetView topLeftCell="A24" zoomScale="110" zoomScaleNormal="110" workbookViewId="0">
      <selection activeCell="D46" sqref="D46"/>
    </sheetView>
  </sheetViews>
  <sheetFormatPr baseColWidth="10" defaultRowHeight="15" x14ac:dyDescent="0.25"/>
  <cols>
    <col min="1" max="1" width="1.140625" customWidth="1"/>
    <col min="2" max="2" width="11.5703125" style="59" customWidth="1"/>
    <col min="3" max="3" width="10" style="60" customWidth="1"/>
    <col min="4" max="4" width="11.42578125" style="59" customWidth="1"/>
    <col min="5" max="5" width="11.42578125" style="60" customWidth="1"/>
    <col min="6" max="6" width="13.7109375" style="59" customWidth="1"/>
    <col min="7" max="7" width="11.42578125" style="60" customWidth="1"/>
    <col min="8" max="8" width="12" style="59" bestFit="1" customWidth="1"/>
    <col min="9" max="9" width="12" style="60" customWidth="1"/>
    <col min="11" max="11" width="22.85546875" customWidth="1"/>
    <col min="13" max="13" width="13.28515625" customWidth="1"/>
    <col min="14" max="14" width="13.7109375" customWidth="1"/>
    <col min="16" max="16" width="12.42578125" customWidth="1"/>
  </cols>
  <sheetData>
    <row r="1" spans="2:33" ht="15.75" thickBot="1" x14ac:dyDescent="0.3"/>
    <row r="2" spans="2:33" ht="15" customHeight="1" x14ac:dyDescent="0.25">
      <c r="B2" s="385" t="s">
        <v>254</v>
      </c>
      <c r="C2" s="386"/>
      <c r="D2" s="386"/>
      <c r="E2" s="386"/>
      <c r="F2" s="386"/>
      <c r="G2" s="386"/>
      <c r="H2" s="386"/>
      <c r="I2" s="387"/>
    </row>
    <row r="3" spans="2:33" x14ac:dyDescent="0.25">
      <c r="B3" s="388"/>
      <c r="C3" s="389"/>
      <c r="D3" s="389"/>
      <c r="E3" s="389"/>
      <c r="F3" s="389"/>
      <c r="G3" s="389"/>
      <c r="H3" s="389"/>
      <c r="I3" s="390"/>
      <c r="K3" s="368" t="s">
        <v>169</v>
      </c>
      <c r="L3" s="369"/>
      <c r="M3" s="369"/>
      <c r="N3" s="370"/>
      <c r="O3" s="368" t="s">
        <v>236</v>
      </c>
      <c r="P3" s="369"/>
      <c r="Q3" s="369"/>
      <c r="R3" s="370"/>
    </row>
    <row r="4" spans="2:33" x14ac:dyDescent="0.25">
      <c r="B4" s="388"/>
      <c r="C4" s="389"/>
      <c r="D4" s="389"/>
      <c r="E4" s="389"/>
      <c r="F4" s="389"/>
      <c r="G4" s="389"/>
      <c r="H4" s="389"/>
      <c r="I4" s="390"/>
      <c r="K4" s="97" t="s">
        <v>170</v>
      </c>
      <c r="L4" s="97" t="s">
        <v>171</v>
      </c>
      <c r="M4" s="97" t="s">
        <v>172</v>
      </c>
      <c r="N4" s="97" t="s">
        <v>243</v>
      </c>
      <c r="O4" s="97" t="s">
        <v>170</v>
      </c>
      <c r="P4" s="97" t="s">
        <v>237</v>
      </c>
      <c r="Q4" s="368" t="s">
        <v>238</v>
      </c>
      <c r="R4" s="370"/>
    </row>
    <row r="5" spans="2:33" x14ac:dyDescent="0.25">
      <c r="B5" s="388"/>
      <c r="C5" s="389"/>
      <c r="D5" s="389"/>
      <c r="E5" s="389"/>
      <c r="F5" s="389"/>
      <c r="G5" s="389"/>
      <c r="H5" s="389"/>
      <c r="I5" s="390"/>
      <c r="K5" s="98">
        <v>3500</v>
      </c>
      <c r="L5" s="97">
        <v>2</v>
      </c>
      <c r="M5" s="98">
        <f>K5*L5</f>
        <v>7000</v>
      </c>
      <c r="N5" s="98">
        <f>M5/12</f>
        <v>583.33333333333337</v>
      </c>
      <c r="O5" s="98">
        <v>25000</v>
      </c>
      <c r="P5" s="97" t="s">
        <v>301</v>
      </c>
      <c r="Q5" s="403">
        <f>720/12</f>
        <v>60</v>
      </c>
      <c r="R5" s="404"/>
    </row>
    <row r="6" spans="2:33" x14ac:dyDescent="0.25">
      <c r="B6" s="388"/>
      <c r="C6" s="389"/>
      <c r="D6" s="389"/>
      <c r="E6" s="389"/>
      <c r="F6" s="389"/>
      <c r="G6" s="389"/>
      <c r="H6" s="389"/>
      <c r="I6" s="390"/>
      <c r="K6" s="368" t="s">
        <v>181</v>
      </c>
      <c r="L6" s="369"/>
      <c r="M6" s="369"/>
      <c r="N6" s="370"/>
      <c r="O6" s="368" t="s">
        <v>182</v>
      </c>
      <c r="P6" s="369"/>
      <c r="Q6" s="369"/>
      <c r="R6" s="370"/>
    </row>
    <row r="7" spans="2:33" x14ac:dyDescent="0.25">
      <c r="B7" s="388"/>
      <c r="C7" s="389"/>
      <c r="D7" s="389"/>
      <c r="E7" s="389"/>
      <c r="F7" s="389"/>
      <c r="G7" s="389"/>
      <c r="H7" s="389"/>
      <c r="I7" s="390"/>
      <c r="K7" s="98" t="s">
        <v>241</v>
      </c>
      <c r="L7" s="97" t="s">
        <v>240</v>
      </c>
      <c r="M7" s="98" t="s">
        <v>259</v>
      </c>
      <c r="N7" s="98" t="s">
        <v>260</v>
      </c>
      <c r="O7" s="98" t="s">
        <v>241</v>
      </c>
      <c r="P7" s="97" t="s">
        <v>261</v>
      </c>
      <c r="Q7" s="98" t="s">
        <v>242</v>
      </c>
      <c r="R7" s="98" t="s">
        <v>259</v>
      </c>
    </row>
    <row r="8" spans="2:33" x14ac:dyDescent="0.25">
      <c r="B8" s="388"/>
      <c r="C8" s="389"/>
      <c r="D8" s="389"/>
      <c r="E8" s="389"/>
      <c r="F8" s="389"/>
      <c r="G8" s="389"/>
      <c r="H8" s="389"/>
      <c r="I8" s="390"/>
      <c r="K8" s="98"/>
      <c r="L8" s="97"/>
      <c r="M8" s="98"/>
      <c r="N8" s="98"/>
      <c r="O8" s="98"/>
      <c r="P8" s="97"/>
      <c r="Q8" s="98"/>
      <c r="R8" s="98"/>
    </row>
    <row r="9" spans="2:33" ht="15.75" thickBot="1" x14ac:dyDescent="0.3">
      <c r="B9" s="388"/>
      <c r="C9" s="389"/>
      <c r="D9" s="389"/>
      <c r="E9" s="389"/>
      <c r="F9" s="389"/>
      <c r="G9" s="389"/>
      <c r="H9" s="389"/>
      <c r="I9" s="390"/>
    </row>
    <row r="10" spans="2:33" ht="15.75" thickBot="1" x14ac:dyDescent="0.3">
      <c r="B10" s="391"/>
      <c r="C10" s="392"/>
      <c r="D10" s="392"/>
      <c r="E10" s="392"/>
      <c r="F10" s="392"/>
      <c r="G10" s="392"/>
      <c r="H10" s="392"/>
      <c r="I10" s="393"/>
      <c r="K10" s="99" t="s">
        <v>174</v>
      </c>
      <c r="L10" s="100"/>
      <c r="M10" s="100"/>
      <c r="N10" s="100"/>
      <c r="O10" s="100"/>
      <c r="P10" s="100"/>
      <c r="Q10" s="101"/>
    </row>
    <row r="11" spans="2:33" x14ac:dyDescent="0.25">
      <c r="B11" s="1" t="s">
        <v>0</v>
      </c>
      <c r="C11" s="383" t="s">
        <v>298</v>
      </c>
      <c r="D11" s="383"/>
      <c r="E11" s="383"/>
      <c r="F11" s="2" t="s">
        <v>1</v>
      </c>
      <c r="G11" s="383" t="s">
        <v>296</v>
      </c>
      <c r="H11" s="383"/>
      <c r="I11" s="384"/>
      <c r="K11" s="102" t="s">
        <v>175</v>
      </c>
      <c r="Q11" s="103"/>
    </row>
    <row r="12" spans="2:33" ht="15" customHeight="1" x14ac:dyDescent="0.25">
      <c r="B12" s="3" t="s">
        <v>2</v>
      </c>
      <c r="C12" s="357"/>
      <c r="D12" s="357"/>
      <c r="E12" s="357"/>
      <c r="F12" s="4" t="s">
        <v>3</v>
      </c>
      <c r="G12" s="357"/>
      <c r="H12" s="357"/>
      <c r="I12" s="358"/>
      <c r="K12" s="102" t="s">
        <v>176</v>
      </c>
      <c r="Q12" s="103"/>
      <c r="U12" s="96"/>
      <c r="V12" s="96"/>
    </row>
    <row r="13" spans="2:33" x14ac:dyDescent="0.25">
      <c r="B13" s="3" t="s">
        <v>4</v>
      </c>
      <c r="C13" s="357"/>
      <c r="D13" s="357"/>
      <c r="E13" s="357"/>
      <c r="F13" s="4" t="s">
        <v>5</v>
      </c>
      <c r="G13" s="357"/>
      <c r="H13" s="357"/>
      <c r="I13" s="358"/>
      <c r="K13" s="106"/>
      <c r="L13" s="110" t="s">
        <v>177</v>
      </c>
      <c r="Q13" s="103"/>
      <c r="U13" s="96"/>
      <c r="V13" s="96"/>
      <c r="Y13" s="96"/>
      <c r="Z13" s="96"/>
      <c r="AA13" s="96"/>
      <c r="AB13" s="96"/>
      <c r="AC13" s="96"/>
      <c r="AD13" s="96"/>
      <c r="AE13" s="96"/>
      <c r="AF13" s="96"/>
      <c r="AG13" s="96"/>
    </row>
    <row r="14" spans="2:33" x14ac:dyDescent="0.25">
      <c r="B14" s="3" t="s">
        <v>6</v>
      </c>
      <c r="C14" s="357"/>
      <c r="D14" s="357"/>
      <c r="E14" s="357"/>
      <c r="F14" s="5" t="s">
        <v>7</v>
      </c>
      <c r="G14" s="357" t="s">
        <v>297</v>
      </c>
      <c r="H14" s="357"/>
      <c r="I14" s="358"/>
      <c r="K14" s="106"/>
      <c r="L14" s="110" t="s">
        <v>178</v>
      </c>
      <c r="Q14" s="103"/>
    </row>
    <row r="15" spans="2:33" ht="15.75" thickBot="1" x14ac:dyDescent="0.3">
      <c r="B15" s="113"/>
      <c r="C15" s="115"/>
      <c r="D15" s="115"/>
      <c r="E15" s="115"/>
      <c r="F15" s="6" t="s">
        <v>8</v>
      </c>
      <c r="G15" s="116"/>
      <c r="H15" s="117">
        <v>1</v>
      </c>
      <c r="I15" s="114"/>
      <c r="K15" s="106"/>
      <c r="L15" s="110" t="s">
        <v>179</v>
      </c>
      <c r="Q15" s="103"/>
    </row>
    <row r="16" spans="2:33" ht="15.75" thickBot="1" x14ac:dyDescent="0.3">
      <c r="B16" s="7"/>
      <c r="C16" s="8"/>
      <c r="D16" s="7"/>
      <c r="E16" s="8"/>
      <c r="F16" s="7"/>
      <c r="G16" s="8"/>
      <c r="H16" s="7"/>
      <c r="I16" s="8"/>
      <c r="K16" s="107"/>
      <c r="L16" s="111" t="s">
        <v>180</v>
      </c>
      <c r="M16" s="104"/>
      <c r="N16" s="104"/>
      <c r="O16" s="104"/>
      <c r="P16" s="104"/>
      <c r="Q16" s="105"/>
    </row>
    <row r="17" spans="2:12" x14ac:dyDescent="0.25">
      <c r="B17" s="9" t="s">
        <v>9</v>
      </c>
      <c r="C17" s="10"/>
      <c r="D17" s="382" t="s">
        <v>299</v>
      </c>
      <c r="E17" s="382"/>
      <c r="F17" s="382"/>
      <c r="G17" s="382"/>
      <c r="H17" s="11" t="s">
        <v>10</v>
      </c>
      <c r="I17" s="168"/>
    </row>
    <row r="18" spans="2:12" x14ac:dyDescent="0.25">
      <c r="B18" s="12" t="s">
        <v>11</v>
      </c>
      <c r="C18" s="13"/>
      <c r="D18" s="14"/>
      <c r="E18" s="13"/>
      <c r="F18" s="14"/>
      <c r="G18" s="13"/>
      <c r="H18" s="14"/>
      <c r="I18" s="15" t="s">
        <v>12</v>
      </c>
      <c r="K18" s="167"/>
      <c r="L18" s="167"/>
    </row>
    <row r="19" spans="2:12" x14ac:dyDescent="0.25">
      <c r="B19" s="95" t="s">
        <v>13</v>
      </c>
      <c r="C19" s="17"/>
      <c r="D19" s="7"/>
      <c r="E19" s="8"/>
      <c r="F19" s="7"/>
      <c r="G19" s="8"/>
      <c r="H19" s="7"/>
      <c r="I19" s="18"/>
      <c r="K19" s="167"/>
      <c r="L19" s="167"/>
    </row>
    <row r="20" spans="2:12" x14ac:dyDescent="0.25">
      <c r="B20" s="16" t="s">
        <v>14</v>
      </c>
      <c r="C20" s="19"/>
      <c r="D20" s="20"/>
      <c r="E20" s="21"/>
      <c r="F20" s="20"/>
      <c r="G20" s="21"/>
      <c r="H20" s="179">
        <v>2400</v>
      </c>
      <c r="I20" s="18"/>
    </row>
    <row r="21" spans="2:12" x14ac:dyDescent="0.25">
      <c r="B21" s="16" t="s">
        <v>15</v>
      </c>
      <c r="C21" s="17"/>
      <c r="D21" s="7"/>
      <c r="E21" s="8"/>
      <c r="F21" s="7"/>
      <c r="G21" s="8"/>
      <c r="H21" s="173"/>
      <c r="I21" s="18"/>
    </row>
    <row r="22" spans="2:12" x14ac:dyDescent="0.25">
      <c r="B22" s="169" t="s">
        <v>300</v>
      </c>
      <c r="C22" s="170"/>
      <c r="D22" s="170"/>
      <c r="E22" s="171"/>
      <c r="F22" s="172"/>
      <c r="G22" s="171"/>
      <c r="H22" s="173">
        <v>1650</v>
      </c>
      <c r="I22" s="18"/>
    </row>
    <row r="23" spans="2:12" x14ac:dyDescent="0.25">
      <c r="B23" s="174"/>
      <c r="C23" s="175"/>
      <c r="D23" s="175"/>
      <c r="E23" s="176"/>
      <c r="F23" s="177"/>
      <c r="G23" s="176"/>
      <c r="H23" s="178"/>
      <c r="I23" s="18"/>
    </row>
    <row r="24" spans="2:12" x14ac:dyDescent="0.25">
      <c r="B24" s="169"/>
      <c r="C24" s="23"/>
      <c r="D24" s="23"/>
      <c r="E24" s="24"/>
      <c r="F24" s="25"/>
      <c r="G24" s="24"/>
      <c r="H24" s="173"/>
      <c r="I24" s="18"/>
    </row>
    <row r="25" spans="2:12" x14ac:dyDescent="0.25">
      <c r="B25" s="16" t="s">
        <v>16</v>
      </c>
      <c r="C25" s="17"/>
      <c r="D25" s="26"/>
      <c r="E25" s="24"/>
      <c r="F25" s="25"/>
      <c r="G25" s="24"/>
      <c r="H25" s="178">
        <v>785</v>
      </c>
      <c r="I25" s="18"/>
    </row>
    <row r="26" spans="2:12" x14ac:dyDescent="0.25">
      <c r="B26" s="16" t="s">
        <v>17</v>
      </c>
      <c r="C26" s="17"/>
      <c r="D26" s="25"/>
      <c r="E26" s="24"/>
      <c r="F26" s="25"/>
      <c r="G26" s="24"/>
      <c r="H26" s="178"/>
      <c r="I26" s="18"/>
    </row>
    <row r="27" spans="2:12" x14ac:dyDescent="0.25">
      <c r="B27" s="16" t="s">
        <v>18</v>
      </c>
      <c r="C27" s="17"/>
      <c r="D27" s="7"/>
      <c r="E27" s="24"/>
      <c r="F27" s="25"/>
      <c r="G27" s="24"/>
      <c r="H27" s="178"/>
      <c r="I27" s="18"/>
    </row>
    <row r="28" spans="2:12" x14ac:dyDescent="0.25">
      <c r="B28" s="16" t="s">
        <v>19</v>
      </c>
      <c r="C28" s="17"/>
      <c r="D28" s="20"/>
      <c r="E28" s="24"/>
      <c r="F28" s="25"/>
      <c r="G28" s="24"/>
      <c r="H28" s="178">
        <v>60</v>
      </c>
      <c r="I28" s="18"/>
    </row>
    <row r="29" spans="2:12" x14ac:dyDescent="0.25">
      <c r="B29" s="95" t="s">
        <v>20</v>
      </c>
      <c r="C29" s="17"/>
      <c r="D29" s="7"/>
      <c r="E29" s="8"/>
      <c r="F29" s="7"/>
      <c r="G29" s="8"/>
      <c r="H29" s="173"/>
      <c r="I29" s="18"/>
    </row>
    <row r="30" spans="2:12" x14ac:dyDescent="0.25">
      <c r="B30" s="16" t="s">
        <v>21</v>
      </c>
      <c r="C30" s="17"/>
      <c r="D30" s="7"/>
      <c r="E30" s="8"/>
      <c r="F30" s="7"/>
      <c r="G30" s="8"/>
      <c r="H30" s="173"/>
      <c r="I30" s="18"/>
    </row>
    <row r="31" spans="2:12" x14ac:dyDescent="0.25">
      <c r="B31" s="169"/>
      <c r="C31" s="23"/>
      <c r="D31" s="23"/>
      <c r="E31" s="21"/>
      <c r="F31" s="20"/>
      <c r="G31" s="21"/>
      <c r="H31" s="179"/>
      <c r="I31" s="18"/>
    </row>
    <row r="32" spans="2:12" x14ac:dyDescent="0.25">
      <c r="B32" s="169"/>
      <c r="C32" s="23"/>
      <c r="D32" s="23"/>
      <c r="E32" s="21"/>
      <c r="F32" s="20"/>
      <c r="G32" s="21"/>
      <c r="H32" s="179"/>
      <c r="I32" s="18"/>
    </row>
    <row r="33" spans="2:9" x14ac:dyDescent="0.25">
      <c r="B33" s="16" t="s">
        <v>22</v>
      </c>
      <c r="C33" s="17"/>
      <c r="D33" s="7"/>
      <c r="E33" s="8"/>
      <c r="F33" s="7"/>
      <c r="G33" s="8"/>
      <c r="H33" s="189"/>
      <c r="I33" s="18"/>
    </row>
    <row r="34" spans="2:9" x14ac:dyDescent="0.25">
      <c r="B34" s="169"/>
      <c r="C34" s="23"/>
      <c r="D34" s="23"/>
      <c r="E34" s="21"/>
      <c r="F34" s="20"/>
      <c r="G34" s="21"/>
      <c r="H34" s="179"/>
      <c r="I34" s="18"/>
    </row>
    <row r="35" spans="2:9" x14ac:dyDescent="0.25">
      <c r="B35" s="16" t="s">
        <v>23</v>
      </c>
      <c r="C35" s="17"/>
      <c r="D35" s="7"/>
      <c r="E35" s="8"/>
      <c r="F35" s="7"/>
      <c r="G35" s="8"/>
      <c r="H35" s="173"/>
      <c r="I35" s="18"/>
    </row>
    <row r="36" spans="2:9" x14ac:dyDescent="0.25">
      <c r="B36" s="169"/>
      <c r="C36" s="23"/>
      <c r="D36" s="27"/>
      <c r="E36" s="21"/>
      <c r="F36" s="20"/>
      <c r="G36" s="21"/>
      <c r="H36" s="179"/>
      <c r="I36" s="18"/>
    </row>
    <row r="37" spans="2:9" x14ac:dyDescent="0.25">
      <c r="B37" s="16" t="s">
        <v>24</v>
      </c>
      <c r="C37" s="17"/>
      <c r="D37" s="7"/>
      <c r="E37" s="8"/>
      <c r="F37" s="7"/>
      <c r="G37" s="8"/>
      <c r="H37" s="189"/>
      <c r="I37" s="18"/>
    </row>
    <row r="38" spans="2:9" x14ac:dyDescent="0.25">
      <c r="B38" s="169"/>
      <c r="C38" s="23"/>
      <c r="D38" s="23"/>
      <c r="E38" s="21"/>
      <c r="F38" s="20"/>
      <c r="G38" s="21"/>
      <c r="H38" s="179"/>
      <c r="I38" s="18"/>
    </row>
    <row r="39" spans="2:9" x14ac:dyDescent="0.25">
      <c r="B39" s="169"/>
      <c r="C39" s="23"/>
      <c r="D39" s="23"/>
      <c r="E39" s="21"/>
      <c r="F39" s="20"/>
      <c r="G39" s="21"/>
      <c r="H39" s="179"/>
      <c r="I39" s="18"/>
    </row>
    <row r="40" spans="2:9" ht="15.75" thickBot="1" x14ac:dyDescent="0.3">
      <c r="B40" s="12"/>
      <c r="C40" s="13"/>
      <c r="D40" s="14" t="s">
        <v>25</v>
      </c>
      <c r="E40" s="13"/>
      <c r="F40" s="28"/>
      <c r="G40" s="29"/>
      <c r="H40" s="28"/>
      <c r="I40" s="30">
        <f>SUM(H20:H39)</f>
        <v>4895</v>
      </c>
    </row>
    <row r="41" spans="2:9" x14ac:dyDescent="0.25">
      <c r="B41" s="31"/>
      <c r="C41" s="8"/>
      <c r="D41" s="7"/>
      <c r="E41" s="8"/>
      <c r="F41" s="7"/>
      <c r="G41" s="8"/>
      <c r="H41" s="7"/>
      <c r="I41" s="18"/>
    </row>
    <row r="42" spans="2:9" x14ac:dyDescent="0.25">
      <c r="B42" s="12" t="s">
        <v>26</v>
      </c>
      <c r="C42" s="13"/>
      <c r="D42" s="14"/>
      <c r="E42" s="13"/>
      <c r="F42" s="14"/>
      <c r="G42" s="13"/>
      <c r="H42" s="14"/>
      <c r="I42" s="32"/>
    </row>
    <row r="43" spans="2:9" x14ac:dyDescent="0.25">
      <c r="B43" s="12" t="s">
        <v>27</v>
      </c>
      <c r="C43" s="13"/>
      <c r="D43" s="14"/>
      <c r="E43" s="13"/>
      <c r="F43" s="14"/>
      <c r="G43" s="13"/>
      <c r="H43" s="14"/>
      <c r="I43" s="32"/>
    </row>
    <row r="44" spans="2:9" x14ac:dyDescent="0.25">
      <c r="B44" s="31"/>
      <c r="C44" s="8"/>
      <c r="D44" s="7"/>
      <c r="E44" s="8"/>
      <c r="F44" s="33" t="s">
        <v>28</v>
      </c>
      <c r="G44" s="8"/>
      <c r="H44" s="7"/>
      <c r="I44" s="18"/>
    </row>
    <row r="45" spans="2:9" x14ac:dyDescent="0.25">
      <c r="B45" s="16" t="s">
        <v>29</v>
      </c>
      <c r="C45" s="8"/>
      <c r="D45" s="179">
        <f>H20+H22+N5+H28</f>
        <v>4693.333333333333</v>
      </c>
      <c r="E45" s="34"/>
      <c r="F45" s="180">
        <v>4.7E-2</v>
      </c>
      <c r="G45" s="19"/>
      <c r="H45" s="179">
        <f>D45*F45</f>
        <v>220.58666666666664</v>
      </c>
      <c r="I45" s="18"/>
    </row>
    <row r="46" spans="2:9" x14ac:dyDescent="0.25">
      <c r="B46" s="16" t="s">
        <v>30</v>
      </c>
      <c r="C46" s="21"/>
      <c r="D46" s="179">
        <f>D45+E48</f>
        <v>5478.333333333333</v>
      </c>
      <c r="E46" s="35"/>
      <c r="F46" s="180">
        <v>1.55E-2</v>
      </c>
      <c r="G46" s="36"/>
      <c r="H46" s="179">
        <f>D46*F46</f>
        <v>84.914166666666659</v>
      </c>
      <c r="I46" s="18"/>
    </row>
    <row r="47" spans="2:9" x14ac:dyDescent="0.25">
      <c r="B47" s="16" t="s">
        <v>31</v>
      </c>
      <c r="C47" s="8"/>
      <c r="D47" s="179">
        <f>D46+E49</f>
        <v>5478.333333333333</v>
      </c>
      <c r="E47" s="35"/>
      <c r="F47" s="180">
        <v>1E-3</v>
      </c>
      <c r="G47" s="36"/>
      <c r="H47" s="179">
        <f>D47*F47</f>
        <v>5.4783333333333335</v>
      </c>
      <c r="I47" s="18"/>
    </row>
    <row r="48" spans="2:9" x14ac:dyDescent="0.25">
      <c r="B48" s="16" t="s">
        <v>32</v>
      </c>
      <c r="C48" s="8"/>
      <c r="D48" s="17"/>
      <c r="E48" s="179">
        <v>785</v>
      </c>
      <c r="F48" s="180">
        <v>4.7E-2</v>
      </c>
      <c r="G48" s="36"/>
      <c r="H48" s="179">
        <f>E48*F48</f>
        <v>36.895000000000003</v>
      </c>
      <c r="I48" s="18"/>
    </row>
    <row r="49" spans="2:9" x14ac:dyDescent="0.25">
      <c r="B49" s="16" t="s">
        <v>33</v>
      </c>
      <c r="C49" s="8"/>
      <c r="D49" s="17"/>
      <c r="E49" s="179"/>
      <c r="F49" s="180"/>
      <c r="G49" s="36"/>
      <c r="H49" s="179"/>
      <c r="I49" s="18"/>
    </row>
    <row r="50" spans="2:9" x14ac:dyDescent="0.25">
      <c r="B50" s="12" t="s">
        <v>34</v>
      </c>
      <c r="C50" s="13"/>
      <c r="D50" s="37"/>
      <c r="E50" s="37"/>
      <c r="F50" s="194"/>
      <c r="G50" s="37"/>
      <c r="H50" s="38">
        <f>SUM(H45:H49)</f>
        <v>347.87416666666661</v>
      </c>
      <c r="I50" s="32"/>
    </row>
    <row r="51" spans="2:9" x14ac:dyDescent="0.25">
      <c r="B51" s="31"/>
      <c r="C51" s="8"/>
      <c r="D51" s="17"/>
      <c r="E51" s="17"/>
      <c r="F51" s="17"/>
      <c r="G51" s="17"/>
      <c r="H51" s="22"/>
      <c r="I51" s="18"/>
    </row>
    <row r="52" spans="2:9" x14ac:dyDescent="0.25">
      <c r="B52" s="16" t="s">
        <v>35</v>
      </c>
      <c r="C52" s="181">
        <f>I40</f>
        <v>4895</v>
      </c>
      <c r="D52" s="19"/>
      <c r="E52" s="19"/>
      <c r="F52" s="182">
        <v>0.18</v>
      </c>
      <c r="G52" s="19"/>
      <c r="H52" s="179">
        <f>C52*F52</f>
        <v>881.1</v>
      </c>
      <c r="I52" s="18"/>
    </row>
    <row r="53" spans="2:9" x14ac:dyDescent="0.25">
      <c r="B53" s="16" t="s">
        <v>36</v>
      </c>
      <c r="C53" s="21"/>
      <c r="D53" s="19"/>
      <c r="E53" s="19"/>
      <c r="F53" s="190"/>
      <c r="G53" s="188"/>
      <c r="H53" s="178"/>
      <c r="I53" s="18"/>
    </row>
    <row r="54" spans="2:9" x14ac:dyDescent="0.25">
      <c r="B54" s="16" t="s">
        <v>37</v>
      </c>
      <c r="C54" s="8"/>
      <c r="D54" s="7"/>
      <c r="E54" s="8"/>
      <c r="F54" s="177"/>
      <c r="G54" s="176"/>
      <c r="H54" s="178"/>
      <c r="I54" s="18"/>
    </row>
    <row r="55" spans="2:9" x14ac:dyDescent="0.25">
      <c r="B55" s="16" t="s">
        <v>38</v>
      </c>
      <c r="C55" s="8"/>
      <c r="D55" s="20"/>
      <c r="E55" s="21"/>
      <c r="F55" s="172"/>
      <c r="G55" s="171"/>
      <c r="H55" s="178"/>
      <c r="I55" s="18"/>
    </row>
    <row r="56" spans="2:9" x14ac:dyDescent="0.25">
      <c r="B56" s="31"/>
      <c r="C56" s="8"/>
      <c r="D56" s="7"/>
      <c r="E56" s="8"/>
      <c r="F56" s="7"/>
      <c r="G56" s="8"/>
      <c r="H56" s="39"/>
      <c r="I56" s="18"/>
    </row>
    <row r="57" spans="2:9" x14ac:dyDescent="0.25">
      <c r="B57" s="12"/>
      <c r="C57" s="13"/>
      <c r="D57" s="14" t="s">
        <v>39</v>
      </c>
      <c r="E57" s="13"/>
      <c r="F57" s="28"/>
      <c r="G57" s="29"/>
      <c r="H57" s="40">
        <f>H50+H52+H53+H54+H55</f>
        <v>1228.9741666666666</v>
      </c>
      <c r="I57" s="32"/>
    </row>
    <row r="58" spans="2:9" ht="15.75" thickBot="1" x14ac:dyDescent="0.3">
      <c r="B58" s="12"/>
      <c r="C58" s="13"/>
      <c r="D58" s="14" t="s">
        <v>40</v>
      </c>
      <c r="E58" s="13"/>
      <c r="F58" s="14"/>
      <c r="G58" s="29"/>
      <c r="H58" s="28"/>
      <c r="I58" s="41">
        <f>I40-H57</f>
        <v>3666.0258333333331</v>
      </c>
    </row>
    <row r="59" spans="2:9" x14ac:dyDescent="0.25">
      <c r="B59" s="31"/>
      <c r="C59" s="8"/>
      <c r="D59" s="17" t="s">
        <v>41</v>
      </c>
      <c r="E59" s="8"/>
      <c r="F59" s="7"/>
      <c r="G59" s="17" t="s">
        <v>42</v>
      </c>
      <c r="H59" s="7"/>
      <c r="I59" s="42" t="s">
        <v>43</v>
      </c>
    </row>
    <row r="60" spans="2:9" x14ac:dyDescent="0.25">
      <c r="B60" s="31"/>
      <c r="C60" s="8"/>
      <c r="D60" s="7"/>
      <c r="E60" s="8"/>
      <c r="F60" s="7"/>
      <c r="G60" s="8"/>
      <c r="H60" s="7"/>
      <c r="I60" s="18"/>
    </row>
    <row r="61" spans="2:9" ht="15.75" thickBot="1" x14ac:dyDescent="0.3">
      <c r="B61" s="43"/>
      <c r="C61" s="44"/>
      <c r="D61" s="45"/>
      <c r="E61" s="44"/>
      <c r="F61" s="45"/>
      <c r="G61" s="44"/>
      <c r="H61" s="45"/>
      <c r="I61" s="46"/>
    </row>
    <row r="62" spans="2:9" ht="15.75" thickBot="1" x14ac:dyDescent="0.3">
      <c r="B62" s="7"/>
      <c r="C62" s="8"/>
      <c r="D62" s="7"/>
      <c r="E62" s="8"/>
      <c r="F62" s="7"/>
      <c r="G62" s="8"/>
      <c r="H62" s="7"/>
      <c r="I62" s="8"/>
    </row>
    <row r="63" spans="2:9" ht="15" customHeight="1" x14ac:dyDescent="0.25">
      <c r="B63" s="372" t="s">
        <v>44</v>
      </c>
      <c r="C63" s="373"/>
      <c r="D63" s="373"/>
      <c r="E63" s="373"/>
      <c r="F63" s="373"/>
      <c r="G63" s="373"/>
      <c r="H63" s="373"/>
      <c r="I63" s="374"/>
    </row>
    <row r="64" spans="2:9" ht="15.75" thickBot="1" x14ac:dyDescent="0.3">
      <c r="B64" s="379" t="s">
        <v>45</v>
      </c>
      <c r="C64" s="380"/>
      <c r="D64" s="380"/>
      <c r="E64" s="380"/>
      <c r="F64" s="380"/>
      <c r="G64" s="380"/>
      <c r="H64" s="380"/>
      <c r="I64" s="381"/>
    </row>
    <row r="65" spans="2:9" x14ac:dyDescent="0.25">
      <c r="B65" s="16" t="s">
        <v>46</v>
      </c>
      <c r="C65" s="17"/>
      <c r="D65" s="17"/>
      <c r="E65" s="8"/>
      <c r="F65" s="7"/>
      <c r="G65" s="8"/>
      <c r="H65" s="7"/>
      <c r="I65" s="18"/>
    </row>
    <row r="66" spans="2:9" x14ac:dyDescent="0.25">
      <c r="B66" s="16" t="s">
        <v>47</v>
      </c>
      <c r="C66" s="17"/>
      <c r="D66" s="19"/>
      <c r="E66" s="183">
        <f>E68-E67</f>
        <v>4110</v>
      </c>
      <c r="F66" s="47"/>
      <c r="G66" s="47"/>
      <c r="H66" s="7"/>
      <c r="I66" s="18"/>
    </row>
    <row r="67" spans="2:9" x14ac:dyDescent="0.25">
      <c r="B67" s="16" t="s">
        <v>48</v>
      </c>
      <c r="C67" s="17"/>
      <c r="D67" s="24"/>
      <c r="E67" s="184">
        <f>N5</f>
        <v>583.33333333333337</v>
      </c>
      <c r="F67" s="47"/>
      <c r="G67" s="48" t="s">
        <v>28</v>
      </c>
      <c r="H67" s="375" t="s">
        <v>49</v>
      </c>
      <c r="I67" s="376"/>
    </row>
    <row r="68" spans="2:9" x14ac:dyDescent="0.25">
      <c r="B68" s="16"/>
      <c r="C68" s="17"/>
      <c r="D68" s="49" t="s">
        <v>50</v>
      </c>
      <c r="E68" s="184">
        <f>D45</f>
        <v>4693.333333333333</v>
      </c>
      <c r="F68" s="47"/>
      <c r="G68" s="187">
        <v>0.23599999999999999</v>
      </c>
      <c r="H68" s="50"/>
      <c r="I68" s="195">
        <f>E68*G68</f>
        <v>1107.6266666666666</v>
      </c>
    </row>
    <row r="69" spans="2:9" x14ac:dyDescent="0.25">
      <c r="B69" s="16"/>
      <c r="C69" s="17"/>
      <c r="D69" s="17"/>
      <c r="E69" s="47"/>
      <c r="F69" s="48" t="s">
        <v>51</v>
      </c>
      <c r="G69" s="193"/>
      <c r="H69" s="17"/>
      <c r="I69" s="196"/>
    </row>
    <row r="70" spans="2:9" ht="15" customHeight="1" x14ac:dyDescent="0.25">
      <c r="B70" s="377" t="s">
        <v>52</v>
      </c>
      <c r="C70" s="378"/>
      <c r="D70" s="378"/>
      <c r="E70" s="47" t="s">
        <v>53</v>
      </c>
      <c r="F70" s="183">
        <f>D46</f>
        <v>5478.333333333333</v>
      </c>
      <c r="G70" s="185">
        <v>1.4999999999999999E-2</v>
      </c>
      <c r="H70" s="47"/>
      <c r="I70" s="195">
        <f>F70*G70</f>
        <v>82.174999999999997</v>
      </c>
    </row>
    <row r="71" spans="2:9" x14ac:dyDescent="0.25">
      <c r="B71" s="377"/>
      <c r="C71" s="378"/>
      <c r="D71" s="378"/>
      <c r="E71" s="47" t="s">
        <v>30</v>
      </c>
      <c r="F71" s="183">
        <f>D47</f>
        <v>5478.333333333333</v>
      </c>
      <c r="G71" s="186">
        <v>5.5E-2</v>
      </c>
      <c r="H71" s="51"/>
      <c r="I71" s="195">
        <f t="shared" ref="I71:I74" si="0">F71*G71</f>
        <v>301.30833333333334</v>
      </c>
    </row>
    <row r="72" spans="2:9" x14ac:dyDescent="0.25">
      <c r="B72" s="377"/>
      <c r="C72" s="378"/>
      <c r="D72" s="378"/>
      <c r="E72" s="8" t="s">
        <v>54</v>
      </c>
      <c r="F72" s="183">
        <f>D46</f>
        <v>5478.333333333333</v>
      </c>
      <c r="G72" s="186">
        <v>6.0000000000000001E-3</v>
      </c>
      <c r="H72" s="51"/>
      <c r="I72" s="195">
        <f t="shared" si="0"/>
        <v>32.869999999999997</v>
      </c>
    </row>
    <row r="73" spans="2:9" x14ac:dyDescent="0.25">
      <c r="B73" s="192"/>
      <c r="C73" s="191"/>
      <c r="D73" s="191"/>
      <c r="E73" s="8" t="s">
        <v>55</v>
      </c>
      <c r="F73" s="183">
        <f>D46</f>
        <v>5478.333333333333</v>
      </c>
      <c r="G73" s="186">
        <v>2E-3</v>
      </c>
      <c r="H73" s="51"/>
      <c r="I73" s="195">
        <f t="shared" si="0"/>
        <v>10.956666666666667</v>
      </c>
    </row>
    <row r="74" spans="2:9" x14ac:dyDescent="0.25">
      <c r="B74" s="16" t="s">
        <v>56</v>
      </c>
      <c r="C74" s="17"/>
      <c r="D74" s="17"/>
      <c r="E74" s="8"/>
      <c r="F74" s="183">
        <v>785</v>
      </c>
      <c r="G74" s="186">
        <v>0.23599999999999999</v>
      </c>
      <c r="H74" s="51"/>
      <c r="I74" s="195">
        <f t="shared" si="0"/>
        <v>185.26</v>
      </c>
    </row>
    <row r="75" spans="2:9" x14ac:dyDescent="0.25">
      <c r="B75" s="16" t="s">
        <v>57</v>
      </c>
      <c r="C75" s="17"/>
      <c r="D75" s="17"/>
      <c r="E75" s="8"/>
      <c r="F75" s="184"/>
      <c r="G75" s="187"/>
      <c r="H75" s="52"/>
      <c r="I75" s="197"/>
    </row>
    <row r="76" spans="2:9" ht="15.75" thickBot="1" x14ac:dyDescent="0.3">
      <c r="B76" s="16" t="s">
        <v>58</v>
      </c>
      <c r="C76" s="17"/>
      <c r="D76" s="17"/>
      <c r="E76" s="8"/>
      <c r="F76" s="184"/>
      <c r="G76" s="8"/>
      <c r="H76" s="53" t="s">
        <v>59</v>
      </c>
      <c r="I76" s="54">
        <f>SUM(I68:I75)</f>
        <v>1720.1966666666665</v>
      </c>
    </row>
    <row r="77" spans="2:9" ht="15.75" thickBot="1" x14ac:dyDescent="0.3">
      <c r="B77" s="55"/>
      <c r="C77" s="56"/>
      <c r="D77" s="57"/>
      <c r="E77" s="56"/>
      <c r="F77" s="57"/>
      <c r="G77" s="56"/>
      <c r="H77" s="57"/>
      <c r="I77" s="58"/>
    </row>
    <row r="80" spans="2:9" x14ac:dyDescent="0.25">
      <c r="F80" s="108"/>
      <c r="G80" s="108"/>
    </row>
  </sheetData>
  <mergeCells count="20">
    <mergeCell ref="H67:I67"/>
    <mergeCell ref="B70:D72"/>
    <mergeCell ref="K6:N6"/>
    <mergeCell ref="C12:E12"/>
    <mergeCell ref="G12:I12"/>
    <mergeCell ref="C13:E13"/>
    <mergeCell ref="G13:I13"/>
    <mergeCell ref="O3:R3"/>
    <mergeCell ref="B64:I64"/>
    <mergeCell ref="Q5:R5"/>
    <mergeCell ref="Q4:R4"/>
    <mergeCell ref="B2:I10"/>
    <mergeCell ref="C14:E14"/>
    <mergeCell ref="G14:I14"/>
    <mergeCell ref="D17:G17"/>
    <mergeCell ref="C11:E11"/>
    <mergeCell ref="G11:I11"/>
    <mergeCell ref="K3:N3"/>
    <mergeCell ref="B63:I63"/>
    <mergeCell ref="O6:R6"/>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G80"/>
  <sheetViews>
    <sheetView topLeftCell="A62" zoomScale="120" zoomScaleNormal="120" workbookViewId="0">
      <selection activeCell="C53" sqref="C53"/>
    </sheetView>
  </sheetViews>
  <sheetFormatPr baseColWidth="10" defaultRowHeight="15" x14ac:dyDescent="0.25"/>
  <cols>
    <col min="1" max="1" width="1.140625" customWidth="1"/>
    <col min="2" max="2" width="11.5703125" style="59" customWidth="1"/>
    <col min="3" max="3" width="10" style="60" customWidth="1"/>
    <col min="4" max="4" width="11.42578125" style="59" customWidth="1"/>
    <col min="5" max="5" width="11.42578125" style="60" customWidth="1"/>
    <col min="6" max="6" width="13.7109375" style="59" customWidth="1"/>
    <col min="7" max="7" width="11.42578125" style="60" customWidth="1"/>
    <col min="8" max="8" width="12" style="59" bestFit="1" customWidth="1"/>
    <col min="9" max="9" width="12" style="60" customWidth="1"/>
    <col min="11" max="11" width="22.85546875" customWidth="1"/>
    <col min="13" max="13" width="13.28515625" customWidth="1"/>
    <col min="14" max="14" width="13.7109375" customWidth="1"/>
  </cols>
  <sheetData>
    <row r="2" spans="2:33" ht="15" customHeight="1" x14ac:dyDescent="0.25">
      <c r="B2" s="395" t="s">
        <v>239</v>
      </c>
      <c r="C2" s="396"/>
      <c r="D2" s="396"/>
      <c r="E2" s="396"/>
      <c r="F2" s="396"/>
      <c r="G2" s="396"/>
      <c r="H2" s="396"/>
      <c r="I2" s="397"/>
      <c r="K2" s="368" t="s">
        <v>169</v>
      </c>
      <c r="L2" s="369"/>
      <c r="M2" s="369"/>
      <c r="N2" s="370"/>
      <c r="O2" s="368" t="s">
        <v>236</v>
      </c>
      <c r="P2" s="369"/>
      <c r="Q2" s="369"/>
      <c r="R2" s="370"/>
    </row>
    <row r="3" spans="2:33" x14ac:dyDescent="0.25">
      <c r="B3" s="398"/>
      <c r="C3" s="389"/>
      <c r="D3" s="389"/>
      <c r="E3" s="389"/>
      <c r="F3" s="389"/>
      <c r="G3" s="389"/>
      <c r="H3" s="389"/>
      <c r="I3" s="399"/>
      <c r="K3" s="97" t="s">
        <v>170</v>
      </c>
      <c r="L3" s="97" t="s">
        <v>171</v>
      </c>
      <c r="M3" s="97" t="s">
        <v>172</v>
      </c>
      <c r="N3" s="97" t="s">
        <v>173</v>
      </c>
      <c r="O3" s="97" t="s">
        <v>170</v>
      </c>
      <c r="P3" s="97"/>
      <c r="Q3" s="97"/>
      <c r="R3" s="97" t="s">
        <v>238</v>
      </c>
    </row>
    <row r="4" spans="2:33" x14ac:dyDescent="0.25">
      <c r="B4" s="398"/>
      <c r="C4" s="389"/>
      <c r="D4" s="389"/>
      <c r="E4" s="389"/>
      <c r="F4" s="389"/>
      <c r="G4" s="389"/>
      <c r="H4" s="389"/>
      <c r="I4" s="399"/>
      <c r="K4" s="98">
        <v>1350</v>
      </c>
      <c r="L4" s="97">
        <v>3</v>
      </c>
      <c r="M4" s="98">
        <f>K4*L4</f>
        <v>4050</v>
      </c>
      <c r="N4" s="98">
        <f>M4/12</f>
        <v>337.5</v>
      </c>
      <c r="O4" s="98"/>
      <c r="P4" s="97"/>
      <c r="Q4" s="98"/>
      <c r="R4" s="98"/>
    </row>
    <row r="5" spans="2:33" x14ac:dyDescent="0.25">
      <c r="B5" s="398"/>
      <c r="C5" s="389"/>
      <c r="D5" s="389"/>
      <c r="E5" s="389"/>
      <c r="F5" s="389"/>
      <c r="G5" s="389"/>
      <c r="H5" s="389"/>
      <c r="I5" s="399"/>
      <c r="K5" s="371" t="s">
        <v>181</v>
      </c>
      <c r="L5" s="371"/>
      <c r="M5" s="371"/>
      <c r="N5" s="371"/>
      <c r="O5" s="371" t="s">
        <v>182</v>
      </c>
      <c r="P5" s="371"/>
      <c r="Q5" s="371"/>
      <c r="R5" s="371"/>
    </row>
    <row r="6" spans="2:33" x14ac:dyDescent="0.25">
      <c r="B6" s="398"/>
      <c r="C6" s="389"/>
      <c r="D6" s="389"/>
      <c r="E6" s="389"/>
      <c r="F6" s="389"/>
      <c r="G6" s="389"/>
      <c r="H6" s="389"/>
      <c r="I6" s="399"/>
      <c r="K6" s="98" t="s">
        <v>241</v>
      </c>
      <c r="L6" s="97" t="s">
        <v>240</v>
      </c>
      <c r="M6" s="98" t="s">
        <v>259</v>
      </c>
      <c r="N6" s="98" t="s">
        <v>260</v>
      </c>
      <c r="O6" s="98" t="s">
        <v>241</v>
      </c>
      <c r="P6" s="97" t="s">
        <v>261</v>
      </c>
      <c r="Q6" s="98" t="s">
        <v>242</v>
      </c>
      <c r="R6" s="98" t="s">
        <v>259</v>
      </c>
      <c r="S6" s="98" t="s">
        <v>260</v>
      </c>
    </row>
    <row r="7" spans="2:33" x14ac:dyDescent="0.25">
      <c r="B7" s="398"/>
      <c r="C7" s="389"/>
      <c r="D7" s="389"/>
      <c r="E7" s="389"/>
      <c r="F7" s="389"/>
      <c r="G7" s="389"/>
      <c r="H7" s="389"/>
      <c r="I7" s="399"/>
      <c r="K7" s="98">
        <v>485</v>
      </c>
      <c r="L7" s="97">
        <v>5</v>
      </c>
      <c r="M7" s="98">
        <v>53.34</v>
      </c>
      <c r="N7" s="98">
        <f>K7-L7*M7</f>
        <v>218.29999999999995</v>
      </c>
      <c r="O7" s="98"/>
      <c r="P7" s="97"/>
      <c r="Q7" s="98"/>
      <c r="R7" s="98"/>
      <c r="S7" s="98"/>
    </row>
    <row r="8" spans="2:33" ht="15.75" thickBot="1" x14ac:dyDescent="0.3">
      <c r="B8" s="398"/>
      <c r="C8" s="389"/>
      <c r="D8" s="389"/>
      <c r="E8" s="389"/>
      <c r="F8" s="389"/>
      <c r="G8" s="389"/>
      <c r="H8" s="389"/>
      <c r="I8" s="399"/>
    </row>
    <row r="9" spans="2:33" x14ac:dyDescent="0.25">
      <c r="B9" s="398"/>
      <c r="C9" s="389"/>
      <c r="D9" s="389"/>
      <c r="E9" s="389"/>
      <c r="F9" s="389"/>
      <c r="G9" s="389"/>
      <c r="H9" s="389"/>
      <c r="I9" s="399"/>
      <c r="K9" s="99" t="s">
        <v>174</v>
      </c>
      <c r="L9" s="100"/>
      <c r="M9" s="100"/>
      <c r="N9" s="100"/>
      <c r="O9" s="100"/>
      <c r="P9" s="100"/>
      <c r="Q9" s="101"/>
    </row>
    <row r="10" spans="2:33" ht="15.75" thickBot="1" x14ac:dyDescent="0.3">
      <c r="B10" s="405"/>
      <c r="C10" s="392"/>
      <c r="D10" s="392"/>
      <c r="E10" s="392"/>
      <c r="F10" s="392"/>
      <c r="G10" s="392"/>
      <c r="H10" s="392"/>
      <c r="I10" s="406"/>
      <c r="K10" s="102" t="s">
        <v>175</v>
      </c>
      <c r="Q10" s="103"/>
    </row>
    <row r="11" spans="2:33" x14ac:dyDescent="0.25">
      <c r="B11" s="1" t="s">
        <v>0</v>
      </c>
      <c r="C11" s="383" t="s">
        <v>302</v>
      </c>
      <c r="D11" s="383"/>
      <c r="E11" s="383"/>
      <c r="F11" s="2" t="s">
        <v>1</v>
      </c>
      <c r="G11" s="383" t="s">
        <v>303</v>
      </c>
      <c r="H11" s="383"/>
      <c r="I11" s="384"/>
      <c r="K11" s="102" t="s">
        <v>176</v>
      </c>
      <c r="Q11" s="103"/>
    </row>
    <row r="12" spans="2:33" ht="15" customHeight="1" x14ac:dyDescent="0.25">
      <c r="B12" s="3" t="s">
        <v>2</v>
      </c>
      <c r="C12" s="357"/>
      <c r="D12" s="357"/>
      <c r="E12" s="357"/>
      <c r="F12" s="4" t="s">
        <v>3</v>
      </c>
      <c r="G12" s="357"/>
      <c r="H12" s="357"/>
      <c r="I12" s="358"/>
      <c r="K12" s="106"/>
      <c r="L12" s="110" t="s">
        <v>177</v>
      </c>
      <c r="Q12" s="103"/>
      <c r="U12" s="96"/>
      <c r="V12" s="96"/>
    </row>
    <row r="13" spans="2:33" x14ac:dyDescent="0.25">
      <c r="B13" s="3" t="s">
        <v>4</v>
      </c>
      <c r="C13" s="357"/>
      <c r="D13" s="357"/>
      <c r="E13" s="357"/>
      <c r="F13" s="4" t="s">
        <v>5</v>
      </c>
      <c r="G13" s="357"/>
      <c r="H13" s="357"/>
      <c r="I13" s="358"/>
      <c r="K13" s="106"/>
      <c r="L13" s="110" t="s">
        <v>178</v>
      </c>
      <c r="Q13" s="103"/>
      <c r="U13" s="96"/>
      <c r="V13" s="96"/>
      <c r="Y13" s="96"/>
      <c r="Z13" s="96"/>
      <c r="AA13" s="96"/>
      <c r="AB13" s="96"/>
      <c r="AC13" s="96"/>
      <c r="AD13" s="96"/>
      <c r="AE13" s="96"/>
      <c r="AF13" s="96"/>
      <c r="AG13" s="96"/>
    </row>
    <row r="14" spans="2:33" x14ac:dyDescent="0.25">
      <c r="B14" s="3" t="s">
        <v>6</v>
      </c>
      <c r="C14" s="357"/>
      <c r="D14" s="357"/>
      <c r="E14" s="357"/>
      <c r="F14" s="5" t="s">
        <v>7</v>
      </c>
      <c r="G14" s="357" t="s">
        <v>304</v>
      </c>
      <c r="H14" s="357"/>
      <c r="I14" s="358"/>
      <c r="K14" s="106"/>
      <c r="L14" s="110" t="s">
        <v>179</v>
      </c>
      <c r="Q14" s="103"/>
    </row>
    <row r="15" spans="2:33" ht="15.75" thickBot="1" x14ac:dyDescent="0.3">
      <c r="B15" s="113"/>
      <c r="C15" s="115"/>
      <c r="D15" s="115"/>
      <c r="E15" s="115"/>
      <c r="F15" s="6" t="s">
        <v>8</v>
      </c>
      <c r="G15" s="116"/>
      <c r="H15" s="117">
        <v>5</v>
      </c>
      <c r="I15" s="114"/>
      <c r="K15" s="107"/>
      <c r="L15" s="111" t="s">
        <v>180</v>
      </c>
      <c r="M15" s="104"/>
      <c r="N15" s="104"/>
      <c r="O15" s="104"/>
      <c r="P15" s="104"/>
      <c r="Q15" s="105"/>
    </row>
    <row r="16" spans="2:33" ht="15.75" thickBot="1" x14ac:dyDescent="0.3">
      <c r="B16" s="7"/>
      <c r="C16" s="8"/>
      <c r="D16" s="7"/>
      <c r="E16" s="8"/>
      <c r="F16" s="7"/>
      <c r="G16" s="8"/>
      <c r="H16" s="7"/>
      <c r="I16" s="8"/>
    </row>
    <row r="17" spans="2:9" x14ac:dyDescent="0.25">
      <c r="B17" s="9" t="s">
        <v>9</v>
      </c>
      <c r="C17" s="10"/>
      <c r="D17" s="382" t="s">
        <v>305</v>
      </c>
      <c r="E17" s="382"/>
      <c r="F17" s="382"/>
      <c r="G17" s="382"/>
      <c r="H17" s="11" t="s">
        <v>10</v>
      </c>
      <c r="I17" s="168">
        <v>31</v>
      </c>
    </row>
    <row r="18" spans="2:9" x14ac:dyDescent="0.25">
      <c r="B18" s="12" t="s">
        <v>11</v>
      </c>
      <c r="C18" s="13"/>
      <c r="D18" s="14"/>
      <c r="E18" s="13"/>
      <c r="F18" s="14"/>
      <c r="G18" s="13"/>
      <c r="H18" s="14"/>
      <c r="I18" s="15" t="s">
        <v>12</v>
      </c>
    </row>
    <row r="19" spans="2:9" x14ac:dyDescent="0.25">
      <c r="B19" s="95" t="s">
        <v>13</v>
      </c>
      <c r="C19" s="17"/>
      <c r="D19" s="7"/>
      <c r="E19" s="8"/>
      <c r="F19" s="7"/>
      <c r="G19" s="8"/>
      <c r="H19" s="7"/>
      <c r="I19" s="18"/>
    </row>
    <row r="20" spans="2:9" x14ac:dyDescent="0.25">
      <c r="B20" s="16" t="s">
        <v>14</v>
      </c>
      <c r="C20" s="19"/>
      <c r="D20" s="20"/>
      <c r="E20" s="21"/>
      <c r="F20" s="20"/>
      <c r="G20" s="21"/>
      <c r="H20" s="179">
        <v>1350</v>
      </c>
      <c r="I20" s="18"/>
    </row>
    <row r="21" spans="2:9" x14ac:dyDescent="0.25">
      <c r="B21" s="16" t="s">
        <v>15</v>
      </c>
      <c r="C21" s="17"/>
      <c r="D21" s="7"/>
      <c r="E21" s="8"/>
      <c r="F21" s="7"/>
      <c r="G21" s="8"/>
      <c r="H21" s="173"/>
      <c r="I21" s="18"/>
    </row>
    <row r="22" spans="2:9" x14ac:dyDescent="0.25">
      <c r="B22" s="169" t="s">
        <v>306</v>
      </c>
      <c r="C22" s="170"/>
      <c r="D22" s="170"/>
      <c r="E22" s="171"/>
      <c r="F22" s="172"/>
      <c r="G22" s="171"/>
      <c r="H22" s="173">
        <v>280</v>
      </c>
      <c r="I22" s="18"/>
    </row>
    <row r="23" spans="2:9" x14ac:dyDescent="0.25">
      <c r="B23" s="174"/>
      <c r="C23" s="175"/>
      <c r="D23" s="175"/>
      <c r="E23" s="176"/>
      <c r="F23" s="177"/>
      <c r="G23" s="176"/>
      <c r="H23" s="178"/>
      <c r="I23" s="18"/>
    </row>
    <row r="24" spans="2:9" x14ac:dyDescent="0.25">
      <c r="B24" s="169"/>
      <c r="C24" s="23"/>
      <c r="D24" s="23"/>
      <c r="E24" s="24"/>
      <c r="F24" s="25"/>
      <c r="G24" s="24"/>
      <c r="H24" s="173"/>
      <c r="I24" s="18"/>
    </row>
    <row r="25" spans="2:9" x14ac:dyDescent="0.25">
      <c r="B25" s="16" t="s">
        <v>16</v>
      </c>
      <c r="C25" s="17"/>
      <c r="D25" s="26"/>
      <c r="E25" s="24"/>
      <c r="F25" s="25"/>
      <c r="G25" s="24"/>
      <c r="H25" s="178">
        <v>378</v>
      </c>
      <c r="I25" s="18"/>
    </row>
    <row r="26" spans="2:9" x14ac:dyDescent="0.25">
      <c r="B26" s="16" t="s">
        <v>17</v>
      </c>
      <c r="C26" s="17"/>
      <c r="D26" s="25"/>
      <c r="E26" s="24"/>
      <c r="F26" s="25"/>
      <c r="G26" s="24"/>
      <c r="H26" s="178"/>
      <c r="I26" s="18"/>
    </row>
    <row r="27" spans="2:9" x14ac:dyDescent="0.25">
      <c r="B27" s="16" t="s">
        <v>18</v>
      </c>
      <c r="C27" s="17"/>
      <c r="D27" s="7"/>
      <c r="E27" s="24"/>
      <c r="F27" s="25"/>
      <c r="G27" s="24"/>
      <c r="H27" s="178"/>
      <c r="I27" s="18"/>
    </row>
    <row r="28" spans="2:9" x14ac:dyDescent="0.25">
      <c r="B28" s="16" t="s">
        <v>19</v>
      </c>
      <c r="C28" s="17"/>
      <c r="D28" s="20"/>
      <c r="E28" s="24"/>
      <c r="F28" s="25"/>
      <c r="G28" s="24"/>
      <c r="H28" s="178"/>
      <c r="I28" s="18"/>
    </row>
    <row r="29" spans="2:9" x14ac:dyDescent="0.25">
      <c r="B29" s="95" t="s">
        <v>20</v>
      </c>
      <c r="C29" s="17"/>
      <c r="D29" s="7"/>
      <c r="E29" s="8"/>
      <c r="F29" s="7"/>
      <c r="G29" s="8"/>
      <c r="H29" s="173"/>
      <c r="I29" s="18"/>
    </row>
    <row r="30" spans="2:9" x14ac:dyDescent="0.25">
      <c r="B30" s="16" t="s">
        <v>21</v>
      </c>
      <c r="C30" s="17"/>
      <c r="D30" s="7"/>
      <c r="E30" s="8"/>
      <c r="F30" s="7"/>
      <c r="G30" s="8"/>
      <c r="H30" s="173"/>
      <c r="I30" s="18"/>
    </row>
    <row r="31" spans="2:9" x14ac:dyDescent="0.25">
      <c r="B31" s="169" t="s">
        <v>307</v>
      </c>
      <c r="C31" s="23"/>
      <c r="D31" s="23"/>
      <c r="E31" s="21"/>
      <c r="F31" s="20"/>
      <c r="G31" s="21"/>
      <c r="H31" s="179">
        <v>485</v>
      </c>
      <c r="I31" s="18"/>
    </row>
    <row r="32" spans="2:9" x14ac:dyDescent="0.25">
      <c r="B32" s="169"/>
      <c r="C32" s="23"/>
      <c r="D32" s="23"/>
      <c r="E32" s="21"/>
      <c r="F32" s="20"/>
      <c r="G32" s="21"/>
      <c r="H32" s="179"/>
      <c r="I32" s="18"/>
    </row>
    <row r="33" spans="2:9" x14ac:dyDescent="0.25">
      <c r="B33" s="16" t="s">
        <v>22</v>
      </c>
      <c r="C33" s="17"/>
      <c r="D33" s="7"/>
      <c r="E33" s="8"/>
      <c r="F33" s="7"/>
      <c r="G33" s="8"/>
      <c r="H33" s="189"/>
      <c r="I33" s="18"/>
    </row>
    <row r="34" spans="2:9" x14ac:dyDescent="0.25">
      <c r="B34" s="169"/>
      <c r="C34" s="23"/>
      <c r="D34" s="23"/>
      <c r="E34" s="21"/>
      <c r="F34" s="20"/>
      <c r="G34" s="21"/>
      <c r="H34" s="179"/>
      <c r="I34" s="18"/>
    </row>
    <row r="35" spans="2:9" x14ac:dyDescent="0.25">
      <c r="B35" s="16" t="s">
        <v>23</v>
      </c>
      <c r="C35" s="17"/>
      <c r="D35" s="7"/>
      <c r="E35" s="8"/>
      <c r="F35" s="7"/>
      <c r="G35" s="8"/>
      <c r="H35" s="173"/>
      <c r="I35" s="18"/>
    </row>
    <row r="36" spans="2:9" x14ac:dyDescent="0.25">
      <c r="B36" s="169"/>
      <c r="C36" s="23"/>
      <c r="D36" s="27"/>
      <c r="E36" s="21"/>
      <c r="F36" s="20"/>
      <c r="G36" s="21"/>
      <c r="H36" s="179"/>
      <c r="I36" s="18"/>
    </row>
    <row r="37" spans="2:9" x14ac:dyDescent="0.25">
      <c r="B37" s="16" t="s">
        <v>24</v>
      </c>
      <c r="C37" s="17"/>
      <c r="D37" s="7"/>
      <c r="E37" s="8"/>
      <c r="F37" s="7"/>
      <c r="G37" s="8"/>
      <c r="H37" s="189"/>
      <c r="I37" s="18"/>
    </row>
    <row r="38" spans="2:9" x14ac:dyDescent="0.25">
      <c r="B38" s="169"/>
      <c r="C38" s="23"/>
      <c r="D38" s="23"/>
      <c r="E38" s="21"/>
      <c r="F38" s="20"/>
      <c r="G38" s="21"/>
      <c r="H38" s="179"/>
      <c r="I38" s="18"/>
    </row>
    <row r="39" spans="2:9" x14ac:dyDescent="0.25">
      <c r="B39" s="169"/>
      <c r="C39" s="23"/>
      <c r="D39" s="23"/>
      <c r="E39" s="21"/>
      <c r="F39" s="20"/>
      <c r="G39" s="21"/>
      <c r="H39" s="179"/>
      <c r="I39" s="18"/>
    </row>
    <row r="40" spans="2:9" ht="15.75" thickBot="1" x14ac:dyDescent="0.3">
      <c r="B40" s="12"/>
      <c r="C40" s="13"/>
      <c r="D40" s="14" t="s">
        <v>25</v>
      </c>
      <c r="E40" s="13"/>
      <c r="F40" s="28"/>
      <c r="G40" s="29"/>
      <c r="H40" s="28"/>
      <c r="I40" s="30">
        <f>SUM(H20:H39)</f>
        <v>2493</v>
      </c>
    </row>
    <row r="41" spans="2:9" x14ac:dyDescent="0.25">
      <c r="B41" s="31"/>
      <c r="C41" s="8"/>
      <c r="D41" s="7"/>
      <c r="E41" s="8"/>
      <c r="F41" s="7"/>
      <c r="G41" s="8"/>
      <c r="H41" s="7"/>
      <c r="I41" s="18"/>
    </row>
    <row r="42" spans="2:9" x14ac:dyDescent="0.25">
      <c r="B42" s="12" t="s">
        <v>26</v>
      </c>
      <c r="C42" s="13"/>
      <c r="D42" s="14"/>
      <c r="E42" s="13"/>
      <c r="F42" s="14"/>
      <c r="G42" s="13"/>
      <c r="H42" s="14"/>
      <c r="I42" s="32"/>
    </row>
    <row r="43" spans="2:9" x14ac:dyDescent="0.25">
      <c r="B43" s="12" t="s">
        <v>27</v>
      </c>
      <c r="C43" s="13"/>
      <c r="D43" s="14"/>
      <c r="E43" s="13"/>
      <c r="F43" s="14"/>
      <c r="G43" s="13"/>
      <c r="H43" s="14"/>
      <c r="I43" s="32"/>
    </row>
    <row r="44" spans="2:9" x14ac:dyDescent="0.25">
      <c r="B44" s="31"/>
      <c r="C44" s="8"/>
      <c r="D44" s="7"/>
      <c r="E44" s="8"/>
      <c r="F44" s="33" t="s">
        <v>28</v>
      </c>
      <c r="G44" s="8"/>
      <c r="H44" s="7"/>
      <c r="I44" s="18"/>
    </row>
    <row r="45" spans="2:9" x14ac:dyDescent="0.25">
      <c r="B45" s="16" t="s">
        <v>29</v>
      </c>
      <c r="C45" s="8"/>
      <c r="D45" s="179">
        <f>H20+H22+N4+N7</f>
        <v>2185.8000000000002</v>
      </c>
      <c r="E45" s="34"/>
      <c r="F45" s="180">
        <v>4.7E-2</v>
      </c>
      <c r="G45" s="19"/>
      <c r="H45" s="179">
        <f>D45*F45</f>
        <v>102.73260000000001</v>
      </c>
      <c r="I45" s="18"/>
    </row>
    <row r="46" spans="2:9" x14ac:dyDescent="0.25">
      <c r="B46" s="16" t="s">
        <v>30</v>
      </c>
      <c r="C46" s="21"/>
      <c r="D46" s="179">
        <f>D45+E48</f>
        <v>2563.8000000000002</v>
      </c>
      <c r="E46" s="35"/>
      <c r="F46" s="180">
        <v>1.6E-2</v>
      </c>
      <c r="G46" s="36"/>
      <c r="H46" s="179">
        <f>D46*F46</f>
        <v>41.020800000000001</v>
      </c>
      <c r="I46" s="18"/>
    </row>
    <row r="47" spans="2:9" x14ac:dyDescent="0.25">
      <c r="B47" s="16" t="s">
        <v>31</v>
      </c>
      <c r="C47" s="8"/>
      <c r="D47" s="179">
        <f>D45+E48</f>
        <v>2563.8000000000002</v>
      </c>
      <c r="E47" s="35"/>
      <c r="F47" s="180">
        <v>1E-3</v>
      </c>
      <c r="G47" s="36"/>
      <c r="H47" s="179">
        <f>D47*F47</f>
        <v>2.5638000000000001</v>
      </c>
      <c r="I47" s="18"/>
    </row>
    <row r="48" spans="2:9" x14ac:dyDescent="0.25">
      <c r="B48" s="16" t="s">
        <v>32</v>
      </c>
      <c r="C48" s="8"/>
      <c r="D48" s="17"/>
      <c r="E48" s="179">
        <v>378</v>
      </c>
      <c r="F48" s="180">
        <v>4.7E-2</v>
      </c>
      <c r="G48" s="36"/>
      <c r="H48" s="179">
        <f>E48*F48</f>
        <v>17.766000000000002</v>
      </c>
      <c r="I48" s="18"/>
    </row>
    <row r="49" spans="2:11" x14ac:dyDescent="0.25">
      <c r="B49" s="16" t="s">
        <v>33</v>
      </c>
      <c r="C49" s="8"/>
      <c r="D49" s="17"/>
      <c r="E49" s="179"/>
      <c r="F49" s="180"/>
      <c r="G49" s="36"/>
      <c r="H49" s="179"/>
      <c r="I49" s="18"/>
    </row>
    <row r="50" spans="2:11" x14ac:dyDescent="0.25">
      <c r="B50" s="12" t="s">
        <v>34</v>
      </c>
      <c r="C50" s="13"/>
      <c r="D50" s="37"/>
      <c r="E50" s="37"/>
      <c r="F50" s="194"/>
      <c r="G50" s="37"/>
      <c r="H50" s="38">
        <f>SUM(H45:H49)</f>
        <v>164.08319999999998</v>
      </c>
      <c r="I50" s="32"/>
    </row>
    <row r="51" spans="2:11" x14ac:dyDescent="0.25">
      <c r="B51" s="31"/>
      <c r="C51" s="8"/>
      <c r="D51" s="17"/>
      <c r="E51" s="17"/>
      <c r="F51" s="17"/>
      <c r="G51" s="17"/>
      <c r="H51" s="22"/>
      <c r="I51" s="18"/>
    </row>
    <row r="52" spans="2:11" x14ac:dyDescent="0.25">
      <c r="B52" s="16" t="s">
        <v>35</v>
      </c>
      <c r="C52" s="181">
        <f>I40-H31+N7</f>
        <v>2226.3000000000002</v>
      </c>
      <c r="D52" s="19"/>
      <c r="E52" s="19"/>
      <c r="F52" s="182">
        <v>0.15</v>
      </c>
      <c r="G52" s="19"/>
      <c r="H52" s="179">
        <f>C52*F52</f>
        <v>333.94499999999999</v>
      </c>
      <c r="I52" s="18"/>
      <c r="K52" t="s">
        <v>308</v>
      </c>
    </row>
    <row r="53" spans="2:11" x14ac:dyDescent="0.25">
      <c r="B53" s="16" t="s">
        <v>36</v>
      </c>
      <c r="C53" s="21"/>
      <c r="D53" s="19"/>
      <c r="E53" s="19"/>
      <c r="F53" s="190"/>
      <c r="G53" s="188"/>
      <c r="H53" s="178"/>
      <c r="I53" s="18"/>
    </row>
    <row r="54" spans="2:11" x14ac:dyDescent="0.25">
      <c r="B54" s="16" t="s">
        <v>37</v>
      </c>
      <c r="C54" s="8"/>
      <c r="D54" s="7"/>
      <c r="E54" s="8"/>
      <c r="F54" s="177"/>
      <c r="G54" s="176"/>
      <c r="H54" s="178"/>
      <c r="I54" s="18"/>
    </row>
    <row r="55" spans="2:11" x14ac:dyDescent="0.25">
      <c r="B55" s="16" t="s">
        <v>38</v>
      </c>
      <c r="C55" s="8"/>
      <c r="D55" s="20"/>
      <c r="E55" s="21"/>
      <c r="F55" s="172"/>
      <c r="G55" s="171"/>
      <c r="H55" s="178"/>
      <c r="I55" s="18"/>
    </row>
    <row r="56" spans="2:11" x14ac:dyDescent="0.25">
      <c r="B56" s="31"/>
      <c r="C56" s="8"/>
      <c r="D56" s="7"/>
      <c r="E56" s="8"/>
      <c r="F56" s="7"/>
      <c r="G56" s="8"/>
      <c r="H56" s="39"/>
      <c r="I56" s="18"/>
    </row>
    <row r="57" spans="2:11" x14ac:dyDescent="0.25">
      <c r="B57" s="12"/>
      <c r="C57" s="13"/>
      <c r="D57" s="14" t="s">
        <v>39</v>
      </c>
      <c r="E57" s="13"/>
      <c r="F57" s="28"/>
      <c r="G57" s="29"/>
      <c r="H57" s="40">
        <f>H50+H52+H53+H54+H55</f>
        <v>498.02819999999997</v>
      </c>
      <c r="I57" s="32"/>
    </row>
    <row r="58" spans="2:11" ht="15.75" thickBot="1" x14ac:dyDescent="0.3">
      <c r="B58" s="12"/>
      <c r="C58" s="13"/>
      <c r="D58" s="14" t="s">
        <v>40</v>
      </c>
      <c r="E58" s="13"/>
      <c r="F58" s="14"/>
      <c r="G58" s="29"/>
      <c r="H58" s="28"/>
      <c r="I58" s="41">
        <f>I40-H57</f>
        <v>1994.9718</v>
      </c>
    </row>
    <row r="59" spans="2:11" x14ac:dyDescent="0.25">
      <c r="B59" s="31"/>
      <c r="C59" s="8"/>
      <c r="D59" s="17" t="s">
        <v>41</v>
      </c>
      <c r="E59" s="8"/>
      <c r="F59" s="7"/>
      <c r="G59" s="17" t="s">
        <v>42</v>
      </c>
      <c r="H59" s="7"/>
      <c r="I59" s="42" t="s">
        <v>43</v>
      </c>
    </row>
    <row r="60" spans="2:11" x14ac:dyDescent="0.25">
      <c r="B60" s="31"/>
      <c r="C60" s="8"/>
      <c r="D60" s="7"/>
      <c r="E60" s="8"/>
      <c r="F60" s="7"/>
      <c r="G60" s="8"/>
      <c r="H60" s="7"/>
      <c r="I60" s="18"/>
    </row>
    <row r="61" spans="2:11" ht="15.75" thickBot="1" x14ac:dyDescent="0.3">
      <c r="B61" s="43"/>
      <c r="C61" s="44"/>
      <c r="D61" s="45"/>
      <c r="E61" s="44"/>
      <c r="F61" s="45"/>
      <c r="G61" s="44"/>
      <c r="H61" s="45"/>
      <c r="I61" s="46"/>
    </row>
    <row r="62" spans="2:11" ht="15.75" thickBot="1" x14ac:dyDescent="0.3">
      <c r="B62" s="7"/>
      <c r="C62" s="8"/>
      <c r="D62" s="7"/>
      <c r="E62" s="8"/>
      <c r="F62" s="7"/>
      <c r="G62" s="8"/>
      <c r="H62" s="7"/>
      <c r="I62" s="8"/>
    </row>
    <row r="63" spans="2:11" ht="15" customHeight="1" x14ac:dyDescent="0.25">
      <c r="B63" s="372" t="s">
        <v>44</v>
      </c>
      <c r="C63" s="373"/>
      <c r="D63" s="373"/>
      <c r="E63" s="373"/>
      <c r="F63" s="373"/>
      <c r="G63" s="373"/>
      <c r="H63" s="373"/>
      <c r="I63" s="374"/>
    </row>
    <row r="64" spans="2:11" ht="15.75" thickBot="1" x14ac:dyDescent="0.3">
      <c r="B64" s="379" t="s">
        <v>45</v>
      </c>
      <c r="C64" s="380"/>
      <c r="D64" s="380"/>
      <c r="E64" s="380"/>
      <c r="F64" s="380"/>
      <c r="G64" s="380"/>
      <c r="H64" s="380"/>
      <c r="I64" s="381"/>
    </row>
    <row r="65" spans="2:9" x14ac:dyDescent="0.25">
      <c r="B65" s="16" t="s">
        <v>46</v>
      </c>
      <c r="C65" s="17"/>
      <c r="D65" s="17"/>
      <c r="E65" s="8"/>
      <c r="F65" s="7"/>
      <c r="G65" s="8"/>
      <c r="H65" s="7"/>
      <c r="I65" s="18"/>
    </row>
    <row r="66" spans="2:9" x14ac:dyDescent="0.25">
      <c r="B66" s="16" t="s">
        <v>47</v>
      </c>
      <c r="C66" s="17"/>
      <c r="D66" s="19"/>
      <c r="E66" s="183">
        <f>E68-E67</f>
        <v>1848.3000000000002</v>
      </c>
      <c r="F66" s="47"/>
      <c r="G66" s="47"/>
      <c r="H66" s="7"/>
      <c r="I66" s="18"/>
    </row>
    <row r="67" spans="2:9" x14ac:dyDescent="0.25">
      <c r="B67" s="16" t="s">
        <v>48</v>
      </c>
      <c r="C67" s="17"/>
      <c r="D67" s="24"/>
      <c r="E67" s="184">
        <f>N4</f>
        <v>337.5</v>
      </c>
      <c r="F67" s="47"/>
      <c r="G67" s="48" t="s">
        <v>28</v>
      </c>
      <c r="H67" s="375" t="s">
        <v>49</v>
      </c>
      <c r="I67" s="376"/>
    </row>
    <row r="68" spans="2:9" x14ac:dyDescent="0.25">
      <c r="B68" s="16"/>
      <c r="C68" s="17"/>
      <c r="D68" s="49" t="s">
        <v>50</v>
      </c>
      <c r="E68" s="184">
        <f>D45</f>
        <v>2185.8000000000002</v>
      </c>
      <c r="F68" s="47"/>
      <c r="G68" s="187">
        <v>0.23599999999999999</v>
      </c>
      <c r="H68" s="50"/>
      <c r="I68" s="195">
        <f>E68*G68</f>
        <v>515.84879999999998</v>
      </c>
    </row>
    <row r="69" spans="2:9" x14ac:dyDescent="0.25">
      <c r="B69" s="16"/>
      <c r="C69" s="17"/>
      <c r="D69" s="17"/>
      <c r="E69" s="47"/>
      <c r="F69" s="48" t="s">
        <v>51</v>
      </c>
      <c r="G69" s="193"/>
      <c r="H69" s="17"/>
      <c r="I69" s="196"/>
    </row>
    <row r="70" spans="2:9" ht="15" customHeight="1" x14ac:dyDescent="0.25">
      <c r="B70" s="377" t="s">
        <v>52</v>
      </c>
      <c r="C70" s="378"/>
      <c r="D70" s="378"/>
      <c r="E70" s="47" t="s">
        <v>53</v>
      </c>
      <c r="F70" s="183">
        <f>D46</f>
        <v>2563.8000000000002</v>
      </c>
      <c r="G70" s="185">
        <v>1.4999999999999999E-2</v>
      </c>
      <c r="H70" s="47"/>
      <c r="I70" s="195">
        <f>F70*G70</f>
        <v>38.457000000000001</v>
      </c>
    </row>
    <row r="71" spans="2:9" x14ac:dyDescent="0.25">
      <c r="B71" s="377"/>
      <c r="C71" s="378"/>
      <c r="D71" s="378"/>
      <c r="E71" s="47" t="s">
        <v>30</v>
      </c>
      <c r="F71" s="183">
        <f t="shared" ref="F71" si="0">D47</f>
        <v>2563.8000000000002</v>
      </c>
      <c r="G71" s="186">
        <v>6.7000000000000004E-2</v>
      </c>
      <c r="H71" s="51"/>
      <c r="I71" s="195">
        <f t="shared" ref="I71:I74" si="1">F71*G71</f>
        <v>171.77460000000002</v>
      </c>
    </row>
    <row r="72" spans="2:9" x14ac:dyDescent="0.25">
      <c r="B72" s="377"/>
      <c r="C72" s="378"/>
      <c r="D72" s="378"/>
      <c r="E72" s="8" t="s">
        <v>54</v>
      </c>
      <c r="F72" s="183">
        <f>D47</f>
        <v>2563.8000000000002</v>
      </c>
      <c r="G72" s="186">
        <v>6.0000000000000001E-3</v>
      </c>
      <c r="H72" s="51"/>
      <c r="I72" s="195">
        <f t="shared" si="1"/>
        <v>15.382800000000001</v>
      </c>
    </row>
    <row r="73" spans="2:9" x14ac:dyDescent="0.25">
      <c r="B73" s="192"/>
      <c r="C73" s="191"/>
      <c r="D73" s="191"/>
      <c r="E73" s="8" t="s">
        <v>55</v>
      </c>
      <c r="F73" s="183">
        <f>D46</f>
        <v>2563.8000000000002</v>
      </c>
      <c r="G73" s="186">
        <v>2E-3</v>
      </c>
      <c r="H73" s="51"/>
      <c r="I73" s="195">
        <f t="shared" si="1"/>
        <v>5.1276000000000002</v>
      </c>
    </row>
    <row r="74" spans="2:9" x14ac:dyDescent="0.25">
      <c r="B74" s="16" t="s">
        <v>56</v>
      </c>
      <c r="C74" s="17"/>
      <c r="D74" s="17"/>
      <c r="E74" s="8"/>
      <c r="F74" s="183">
        <f>H25</f>
        <v>378</v>
      </c>
      <c r="G74" s="186">
        <v>0.23599999999999999</v>
      </c>
      <c r="H74" s="51"/>
      <c r="I74" s="197">
        <f t="shared" si="1"/>
        <v>89.207999999999998</v>
      </c>
    </row>
    <row r="75" spans="2:9" x14ac:dyDescent="0.25">
      <c r="B75" s="16" t="s">
        <v>57</v>
      </c>
      <c r="C75" s="17"/>
      <c r="D75" s="17"/>
      <c r="E75" s="8"/>
      <c r="F75" s="184"/>
      <c r="G75" s="187"/>
      <c r="H75" s="52"/>
      <c r="I75" s="197"/>
    </row>
    <row r="76" spans="2:9" ht="15.75" thickBot="1" x14ac:dyDescent="0.3">
      <c r="B76" s="16" t="s">
        <v>58</v>
      </c>
      <c r="C76" s="17"/>
      <c r="D76" s="17"/>
      <c r="E76" s="8"/>
      <c r="F76" s="184"/>
      <c r="G76" s="8"/>
      <c r="H76" s="53" t="s">
        <v>59</v>
      </c>
      <c r="I76" s="54">
        <f>SUM(I68:I75)</f>
        <v>835.79880000000003</v>
      </c>
    </row>
    <row r="77" spans="2:9" ht="15.75" thickBot="1" x14ac:dyDescent="0.3">
      <c r="B77" s="55"/>
      <c r="C77" s="56"/>
      <c r="D77" s="57"/>
      <c r="E77" s="56"/>
      <c r="F77" s="57"/>
      <c r="G77" s="56"/>
      <c r="H77" s="57"/>
      <c r="I77" s="58"/>
    </row>
    <row r="80" spans="2:9" x14ac:dyDescent="0.25">
      <c r="F80" s="108"/>
      <c r="G80" s="108"/>
    </row>
  </sheetData>
  <mergeCells count="18">
    <mergeCell ref="O2:R2"/>
    <mergeCell ref="B64:I64"/>
    <mergeCell ref="C11:E11"/>
    <mergeCell ref="G11:I11"/>
    <mergeCell ref="C12:E12"/>
    <mergeCell ref="G12:I12"/>
    <mergeCell ref="C13:E13"/>
    <mergeCell ref="G13:I13"/>
    <mergeCell ref="C14:E14"/>
    <mergeCell ref="G14:I14"/>
    <mergeCell ref="D17:G17"/>
    <mergeCell ref="B2:I10"/>
    <mergeCell ref="O5:R5"/>
    <mergeCell ref="K2:N2"/>
    <mergeCell ref="B63:I63"/>
    <mergeCell ref="H67:I67"/>
    <mergeCell ref="B70:D72"/>
    <mergeCell ref="K5:N5"/>
  </mergeCell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G80"/>
  <sheetViews>
    <sheetView topLeftCell="A42" zoomScale="110" zoomScaleNormal="110" workbookViewId="0">
      <selection activeCell="C53" sqref="C53"/>
    </sheetView>
  </sheetViews>
  <sheetFormatPr baseColWidth="10" defaultRowHeight="15" x14ac:dyDescent="0.25"/>
  <cols>
    <col min="1" max="1" width="1.140625" customWidth="1"/>
    <col min="2" max="2" width="11.5703125" style="59" customWidth="1"/>
    <col min="3" max="3" width="10" style="60" customWidth="1"/>
    <col min="4" max="4" width="11.42578125" style="59" customWidth="1"/>
    <col min="5" max="5" width="11.42578125" style="60" customWidth="1"/>
    <col min="6" max="6" width="13.7109375" style="59" customWidth="1"/>
    <col min="7" max="7" width="11.42578125" style="60" customWidth="1"/>
    <col min="8" max="8" width="12" style="59" bestFit="1" customWidth="1"/>
    <col min="9" max="9" width="12" style="60" customWidth="1"/>
    <col min="10" max="10" width="3.28515625" customWidth="1"/>
    <col min="11" max="11" width="22.85546875" customWidth="1"/>
    <col min="13" max="13" width="13.28515625" customWidth="1"/>
    <col min="14" max="14" width="13.7109375" customWidth="1"/>
  </cols>
  <sheetData>
    <row r="1" spans="2:33" ht="15.75" thickBot="1" x14ac:dyDescent="0.3"/>
    <row r="2" spans="2:33" ht="15" customHeight="1" x14ac:dyDescent="0.25">
      <c r="B2" s="407" t="s">
        <v>258</v>
      </c>
      <c r="C2" s="408"/>
      <c r="D2" s="408"/>
      <c r="E2" s="408"/>
      <c r="F2" s="408"/>
      <c r="G2" s="408"/>
      <c r="H2" s="408"/>
      <c r="I2" s="409"/>
      <c r="J2" s="210"/>
      <c r="K2" s="368" t="s">
        <v>169</v>
      </c>
      <c r="L2" s="369"/>
      <c r="M2" s="369"/>
      <c r="N2" s="370"/>
      <c r="O2" s="368" t="s">
        <v>236</v>
      </c>
      <c r="P2" s="369"/>
      <c r="Q2" s="369"/>
      <c r="R2" s="370"/>
      <c r="S2" s="109"/>
    </row>
    <row r="3" spans="2:33" x14ac:dyDescent="0.25">
      <c r="B3" s="410"/>
      <c r="C3" s="411"/>
      <c r="D3" s="411"/>
      <c r="E3" s="411"/>
      <c r="F3" s="411"/>
      <c r="G3" s="411"/>
      <c r="H3" s="411"/>
      <c r="I3" s="412"/>
      <c r="J3" s="211"/>
      <c r="K3" s="97" t="s">
        <v>170</v>
      </c>
      <c r="L3" s="97" t="s">
        <v>171</v>
      </c>
      <c r="M3" s="97" t="s">
        <v>172</v>
      </c>
      <c r="N3" s="97" t="s">
        <v>173</v>
      </c>
      <c r="O3" s="97" t="s">
        <v>170</v>
      </c>
      <c r="P3" s="97"/>
      <c r="Q3" s="97"/>
      <c r="R3" s="97" t="s">
        <v>238</v>
      </c>
      <c r="S3" s="109"/>
    </row>
    <row r="4" spans="2:33" x14ac:dyDescent="0.25">
      <c r="B4" s="410"/>
      <c r="C4" s="411"/>
      <c r="D4" s="411"/>
      <c r="E4" s="411"/>
      <c r="F4" s="411"/>
      <c r="G4" s="411"/>
      <c r="H4" s="411"/>
      <c r="I4" s="412"/>
      <c r="J4" s="211"/>
      <c r="K4" s="98">
        <f>H20</f>
        <v>1230</v>
      </c>
      <c r="L4" s="97">
        <v>2</v>
      </c>
      <c r="M4" s="98">
        <f>K4*L4</f>
        <v>2460</v>
      </c>
      <c r="N4" s="98">
        <f>M4/12</f>
        <v>205</v>
      </c>
      <c r="O4" s="98"/>
      <c r="P4" s="97"/>
      <c r="Q4" s="98"/>
      <c r="R4" s="98"/>
    </row>
    <row r="5" spans="2:33" x14ac:dyDescent="0.25">
      <c r="B5" s="410"/>
      <c r="C5" s="411"/>
      <c r="D5" s="411"/>
      <c r="E5" s="411"/>
      <c r="F5" s="411"/>
      <c r="G5" s="411"/>
      <c r="H5" s="411"/>
      <c r="I5" s="412"/>
      <c r="J5" s="211"/>
      <c r="K5" s="371" t="s">
        <v>181</v>
      </c>
      <c r="L5" s="371"/>
      <c r="M5" s="371"/>
      <c r="N5" s="371"/>
      <c r="O5" s="371" t="s">
        <v>182</v>
      </c>
      <c r="P5" s="371"/>
      <c r="Q5" s="371"/>
      <c r="R5" s="371"/>
    </row>
    <row r="6" spans="2:33" x14ac:dyDescent="0.25">
      <c r="B6" s="410"/>
      <c r="C6" s="411"/>
      <c r="D6" s="411"/>
      <c r="E6" s="411"/>
      <c r="F6" s="411"/>
      <c r="G6" s="411"/>
      <c r="H6" s="411"/>
      <c r="I6" s="412"/>
      <c r="J6" s="211"/>
      <c r="K6" s="98" t="s">
        <v>241</v>
      </c>
      <c r="L6" s="97" t="s">
        <v>240</v>
      </c>
      <c r="M6" s="98" t="s">
        <v>259</v>
      </c>
      <c r="N6" s="98" t="s">
        <v>314</v>
      </c>
      <c r="O6" s="98" t="s">
        <v>241</v>
      </c>
      <c r="P6" s="97" t="s">
        <v>261</v>
      </c>
      <c r="Q6" s="98" t="s">
        <v>242</v>
      </c>
      <c r="R6" s="98" t="s">
        <v>259</v>
      </c>
      <c r="S6" s="98" t="s">
        <v>260</v>
      </c>
    </row>
    <row r="7" spans="2:33" ht="15.75" thickBot="1" x14ac:dyDescent="0.3">
      <c r="B7" s="410"/>
      <c r="C7" s="411"/>
      <c r="D7" s="411"/>
      <c r="E7" s="411"/>
      <c r="F7" s="411"/>
      <c r="G7" s="411"/>
      <c r="H7" s="411"/>
      <c r="I7" s="412"/>
      <c r="J7" s="211"/>
      <c r="K7" s="98">
        <v>600</v>
      </c>
      <c r="L7" s="97">
        <v>5</v>
      </c>
      <c r="M7" s="98">
        <v>91.35</v>
      </c>
      <c r="N7" s="98">
        <f>K7-L7*M7</f>
        <v>143.25</v>
      </c>
      <c r="O7" s="98"/>
      <c r="P7" s="97"/>
      <c r="Q7" s="98"/>
      <c r="R7" s="98">
        <v>0.19</v>
      </c>
      <c r="S7" s="98">
        <f>O7-P7-(Q7*R7)</f>
        <v>0</v>
      </c>
    </row>
    <row r="8" spans="2:33" x14ac:dyDescent="0.25">
      <c r="B8" s="410"/>
      <c r="C8" s="411"/>
      <c r="D8" s="411"/>
      <c r="E8" s="411"/>
      <c r="F8" s="411"/>
      <c r="G8" s="411"/>
      <c r="H8" s="411"/>
      <c r="I8" s="412"/>
      <c r="J8" s="211"/>
      <c r="K8" s="99" t="s">
        <v>174</v>
      </c>
      <c r="L8" s="100"/>
      <c r="M8" s="100"/>
      <c r="N8" s="100"/>
      <c r="O8" s="100"/>
      <c r="P8" s="100"/>
      <c r="Q8" s="101"/>
    </row>
    <row r="9" spans="2:33" x14ac:dyDescent="0.25">
      <c r="B9" s="410"/>
      <c r="C9" s="411"/>
      <c r="D9" s="411"/>
      <c r="E9" s="411"/>
      <c r="F9" s="411"/>
      <c r="G9" s="411"/>
      <c r="H9" s="411"/>
      <c r="I9" s="412"/>
      <c r="J9" s="211"/>
      <c r="K9" s="102" t="s">
        <v>175</v>
      </c>
      <c r="Q9" s="103"/>
    </row>
    <row r="10" spans="2:33" ht="15.75" thickBot="1" x14ac:dyDescent="0.3">
      <c r="B10" s="413"/>
      <c r="C10" s="414"/>
      <c r="D10" s="414"/>
      <c r="E10" s="414"/>
      <c r="F10" s="414"/>
      <c r="G10" s="414"/>
      <c r="H10" s="414"/>
      <c r="I10" s="415"/>
      <c r="J10" s="211"/>
      <c r="K10" s="102" t="s">
        <v>176</v>
      </c>
      <c r="Q10" s="103"/>
    </row>
    <row r="11" spans="2:33" x14ac:dyDescent="0.25">
      <c r="B11" s="1" t="s">
        <v>0</v>
      </c>
      <c r="C11" s="383" t="s">
        <v>310</v>
      </c>
      <c r="D11" s="383"/>
      <c r="E11" s="383"/>
      <c r="F11" s="2" t="s">
        <v>1</v>
      </c>
      <c r="G11" s="383" t="s">
        <v>312</v>
      </c>
      <c r="H11" s="383"/>
      <c r="I11" s="384"/>
      <c r="J11" s="211"/>
      <c r="K11" s="106"/>
      <c r="L11" s="110" t="s">
        <v>177</v>
      </c>
      <c r="Q11" s="103"/>
    </row>
    <row r="12" spans="2:33" ht="15" customHeight="1" x14ac:dyDescent="0.25">
      <c r="B12" s="3" t="s">
        <v>2</v>
      </c>
      <c r="C12" s="357"/>
      <c r="D12" s="357"/>
      <c r="E12" s="357"/>
      <c r="F12" s="4" t="s">
        <v>3</v>
      </c>
      <c r="G12" s="357"/>
      <c r="H12" s="357"/>
      <c r="I12" s="358"/>
      <c r="J12" s="211"/>
      <c r="K12" s="106"/>
      <c r="L12" s="110" t="s">
        <v>178</v>
      </c>
      <c r="Q12" s="103"/>
      <c r="V12" s="96"/>
    </row>
    <row r="13" spans="2:33" x14ac:dyDescent="0.25">
      <c r="B13" s="3" t="s">
        <v>4</v>
      </c>
      <c r="C13" s="357"/>
      <c r="D13" s="357"/>
      <c r="E13" s="357"/>
      <c r="F13" s="4" t="s">
        <v>5</v>
      </c>
      <c r="G13" s="357"/>
      <c r="H13" s="357"/>
      <c r="I13" s="358"/>
      <c r="J13" s="211"/>
      <c r="K13" s="106"/>
      <c r="L13" s="110" t="s">
        <v>179</v>
      </c>
      <c r="Q13" s="103"/>
      <c r="V13" s="96"/>
      <c r="Y13" s="96"/>
      <c r="Z13" s="96"/>
      <c r="AA13" s="96"/>
      <c r="AB13" s="96"/>
      <c r="AC13" s="96"/>
      <c r="AD13" s="96"/>
      <c r="AE13" s="96"/>
      <c r="AF13" s="96"/>
      <c r="AG13" s="96"/>
    </row>
    <row r="14" spans="2:33" ht="15.75" thickBot="1" x14ac:dyDescent="0.3">
      <c r="B14" s="3" t="s">
        <v>6</v>
      </c>
      <c r="C14" s="357"/>
      <c r="D14" s="357"/>
      <c r="E14" s="357"/>
      <c r="F14" s="5" t="s">
        <v>7</v>
      </c>
      <c r="G14" s="357" t="s">
        <v>309</v>
      </c>
      <c r="H14" s="357"/>
      <c r="I14" s="358"/>
      <c r="J14" s="211"/>
      <c r="K14" s="107"/>
      <c r="L14" s="111" t="s">
        <v>180</v>
      </c>
      <c r="M14" s="104"/>
      <c r="N14" s="104"/>
      <c r="O14" s="104"/>
      <c r="P14" s="104"/>
      <c r="Q14" s="105"/>
    </row>
    <row r="15" spans="2:33" ht="15.75" thickBot="1" x14ac:dyDescent="0.3">
      <c r="B15" s="113"/>
      <c r="C15" s="115"/>
      <c r="D15" s="115"/>
      <c r="E15" s="115"/>
      <c r="F15" s="6" t="s">
        <v>8</v>
      </c>
      <c r="G15" s="116"/>
      <c r="H15" s="117">
        <v>1</v>
      </c>
      <c r="I15" s="114"/>
    </row>
    <row r="16" spans="2:33" ht="15.75" thickBot="1" x14ac:dyDescent="0.3">
      <c r="B16" s="7"/>
      <c r="C16" s="8"/>
      <c r="D16" s="7"/>
      <c r="E16" s="8"/>
      <c r="F16" s="7"/>
      <c r="G16" s="8"/>
      <c r="H16" s="7"/>
      <c r="I16" s="8"/>
    </row>
    <row r="17" spans="2:9" x14ac:dyDescent="0.25">
      <c r="B17" s="9" t="s">
        <v>9</v>
      </c>
      <c r="C17" s="10"/>
      <c r="D17" s="382" t="s">
        <v>286</v>
      </c>
      <c r="E17" s="382"/>
      <c r="F17" s="382"/>
      <c r="G17" s="382"/>
      <c r="H17" s="11" t="s">
        <v>10</v>
      </c>
      <c r="I17" s="168">
        <v>31</v>
      </c>
    </row>
    <row r="18" spans="2:9" x14ac:dyDescent="0.25">
      <c r="B18" s="12" t="s">
        <v>11</v>
      </c>
      <c r="C18" s="13"/>
      <c r="D18" s="14"/>
      <c r="E18" s="13"/>
      <c r="F18" s="14"/>
      <c r="G18" s="13"/>
      <c r="H18" s="14"/>
      <c r="I18" s="15" t="s">
        <v>12</v>
      </c>
    </row>
    <row r="19" spans="2:9" x14ac:dyDescent="0.25">
      <c r="B19" s="95" t="s">
        <v>13</v>
      </c>
      <c r="C19" s="17"/>
      <c r="D19" s="7"/>
      <c r="E19" s="8"/>
      <c r="F19" s="7"/>
      <c r="G19" s="8"/>
      <c r="H19" s="7"/>
      <c r="I19" s="18"/>
    </row>
    <row r="20" spans="2:9" x14ac:dyDescent="0.25">
      <c r="B20" s="16" t="s">
        <v>14</v>
      </c>
      <c r="C20" s="19"/>
      <c r="D20" s="20"/>
      <c r="E20" s="21"/>
      <c r="F20" s="20"/>
      <c r="G20" s="21"/>
      <c r="H20" s="179">
        <v>1230</v>
      </c>
      <c r="I20" s="18"/>
    </row>
    <row r="21" spans="2:9" x14ac:dyDescent="0.25">
      <c r="B21" s="16" t="s">
        <v>15</v>
      </c>
      <c r="C21" s="17"/>
      <c r="D21" s="7"/>
      <c r="E21" s="8"/>
      <c r="F21" s="7"/>
      <c r="G21" s="8"/>
      <c r="H21" s="173"/>
      <c r="I21" s="18"/>
    </row>
    <row r="22" spans="2:9" x14ac:dyDescent="0.25">
      <c r="B22" s="169" t="s">
        <v>311</v>
      </c>
      <c r="C22" s="170"/>
      <c r="D22" s="170"/>
      <c r="E22" s="171"/>
      <c r="F22" s="172"/>
      <c r="G22" s="171"/>
      <c r="H22" s="173">
        <v>50</v>
      </c>
      <c r="I22" s="18"/>
    </row>
    <row r="23" spans="2:9" x14ac:dyDescent="0.25">
      <c r="B23" s="174"/>
      <c r="C23" s="175"/>
      <c r="D23" s="175"/>
      <c r="E23" s="176"/>
      <c r="F23" s="177"/>
      <c r="G23" s="176"/>
      <c r="H23" s="178"/>
      <c r="I23" s="18"/>
    </row>
    <row r="24" spans="2:9" x14ac:dyDescent="0.25">
      <c r="B24" s="169"/>
      <c r="C24" s="23"/>
      <c r="D24" s="23"/>
      <c r="E24" s="24"/>
      <c r="F24" s="25"/>
      <c r="G24" s="24"/>
      <c r="H24" s="173"/>
      <c r="I24" s="18"/>
    </row>
    <row r="25" spans="2:9" x14ac:dyDescent="0.25">
      <c r="B25" s="16" t="s">
        <v>16</v>
      </c>
      <c r="C25" s="17"/>
      <c r="D25" s="26"/>
      <c r="E25" s="24"/>
      <c r="F25" s="25"/>
      <c r="G25" s="24"/>
      <c r="H25" s="178">
        <f>23*7</f>
        <v>161</v>
      </c>
      <c r="I25" s="18"/>
    </row>
    <row r="26" spans="2:9" x14ac:dyDescent="0.25">
      <c r="B26" s="16" t="s">
        <v>17</v>
      </c>
      <c r="C26" s="17"/>
      <c r="D26" s="25"/>
      <c r="E26" s="24"/>
      <c r="F26" s="25"/>
      <c r="G26" s="24"/>
      <c r="H26" s="178"/>
      <c r="I26" s="18"/>
    </row>
    <row r="27" spans="2:9" x14ac:dyDescent="0.25">
      <c r="B27" s="16" t="s">
        <v>18</v>
      </c>
      <c r="C27" s="17"/>
      <c r="D27" s="7"/>
      <c r="E27" s="24"/>
      <c r="F27" s="25"/>
      <c r="G27" s="24"/>
      <c r="H27" s="178"/>
      <c r="I27" s="18"/>
    </row>
    <row r="28" spans="2:9" x14ac:dyDescent="0.25">
      <c r="B28" s="16" t="s">
        <v>19</v>
      </c>
      <c r="C28" s="17"/>
      <c r="D28" s="20"/>
      <c r="E28" s="24"/>
      <c r="F28" s="25"/>
      <c r="G28" s="24"/>
      <c r="H28" s="178"/>
      <c r="I28" s="18"/>
    </row>
    <row r="29" spans="2:9" x14ac:dyDescent="0.25">
      <c r="B29" s="95" t="s">
        <v>20</v>
      </c>
      <c r="C29" s="17"/>
      <c r="D29" s="7"/>
      <c r="E29" s="8"/>
      <c r="F29" s="7"/>
      <c r="G29" s="8"/>
      <c r="H29" s="173"/>
      <c r="I29" s="18"/>
    </row>
    <row r="30" spans="2:9" x14ac:dyDescent="0.25">
      <c r="B30" s="16" t="s">
        <v>21</v>
      </c>
      <c r="C30" s="17"/>
      <c r="D30" s="7"/>
      <c r="E30" s="8"/>
      <c r="F30" s="7"/>
      <c r="G30" s="8"/>
      <c r="H30" s="173"/>
      <c r="I30" s="18"/>
    </row>
    <row r="31" spans="2:9" x14ac:dyDescent="0.25">
      <c r="B31" s="169" t="s">
        <v>282</v>
      </c>
      <c r="C31" s="23"/>
      <c r="D31" s="23"/>
      <c r="E31" s="21"/>
      <c r="F31" s="20"/>
      <c r="G31" s="21"/>
      <c r="H31" s="179">
        <v>600</v>
      </c>
      <c r="I31" s="18"/>
    </row>
    <row r="32" spans="2:9" x14ac:dyDescent="0.25">
      <c r="B32" s="169"/>
      <c r="C32" s="23"/>
      <c r="D32" s="23"/>
      <c r="E32" s="21"/>
      <c r="F32" s="20"/>
      <c r="G32" s="21"/>
      <c r="H32" s="179"/>
      <c r="I32" s="18"/>
    </row>
    <row r="33" spans="2:9" x14ac:dyDescent="0.25">
      <c r="B33" s="16" t="s">
        <v>22</v>
      </c>
      <c r="C33" s="17"/>
      <c r="D33" s="7"/>
      <c r="E33" s="8"/>
      <c r="F33" s="7"/>
      <c r="G33" s="8"/>
      <c r="H33" s="189"/>
      <c r="I33" s="18"/>
    </row>
    <row r="34" spans="2:9" x14ac:dyDescent="0.25">
      <c r="B34" s="169"/>
      <c r="C34" s="23"/>
      <c r="D34" s="23"/>
      <c r="E34" s="21"/>
      <c r="F34" s="20"/>
      <c r="G34" s="21"/>
      <c r="H34" s="179"/>
      <c r="I34" s="18"/>
    </row>
    <row r="35" spans="2:9" x14ac:dyDescent="0.25">
      <c r="B35" s="16" t="s">
        <v>23</v>
      </c>
      <c r="C35" s="17"/>
      <c r="D35" s="7"/>
      <c r="E35" s="8"/>
      <c r="F35" s="7"/>
      <c r="G35" s="8"/>
      <c r="H35" s="173"/>
      <c r="I35" s="18"/>
    </row>
    <row r="36" spans="2:9" x14ac:dyDescent="0.25">
      <c r="B36" s="169"/>
      <c r="C36" s="23"/>
      <c r="D36" s="27"/>
      <c r="E36" s="21"/>
      <c r="F36" s="20"/>
      <c r="G36" s="21"/>
      <c r="H36" s="179"/>
      <c r="I36" s="18"/>
    </row>
    <row r="37" spans="2:9" x14ac:dyDescent="0.25">
      <c r="B37" s="16" t="s">
        <v>24</v>
      </c>
      <c r="C37" s="17"/>
      <c r="D37" s="7"/>
      <c r="E37" s="8"/>
      <c r="F37" s="7"/>
      <c r="G37" s="8"/>
      <c r="H37" s="189"/>
      <c r="I37" s="18"/>
    </row>
    <row r="38" spans="2:9" x14ac:dyDescent="0.25">
      <c r="B38" s="169"/>
      <c r="C38" s="23"/>
      <c r="D38" s="23"/>
      <c r="E38" s="21"/>
      <c r="F38" s="20"/>
      <c r="G38" s="21"/>
      <c r="H38" s="179"/>
      <c r="I38" s="18"/>
    </row>
    <row r="39" spans="2:9" x14ac:dyDescent="0.25">
      <c r="B39" s="169"/>
      <c r="C39" s="23"/>
      <c r="D39" s="23"/>
      <c r="E39" s="21"/>
      <c r="F39" s="20"/>
      <c r="G39" s="21"/>
      <c r="H39" s="179"/>
      <c r="I39" s="18"/>
    </row>
    <row r="40" spans="2:9" ht="15.75" thickBot="1" x14ac:dyDescent="0.3">
      <c r="B40" s="12"/>
      <c r="C40" s="13"/>
      <c r="D40" s="14" t="s">
        <v>25</v>
      </c>
      <c r="E40" s="13"/>
      <c r="F40" s="28"/>
      <c r="G40" s="29"/>
      <c r="H40" s="28"/>
      <c r="I40" s="30">
        <f>SUM(H20:H39)</f>
        <v>2041</v>
      </c>
    </row>
    <row r="41" spans="2:9" x14ac:dyDescent="0.25">
      <c r="B41" s="31"/>
      <c r="C41" s="8"/>
      <c r="D41" s="7"/>
      <c r="E41" s="8"/>
      <c r="F41" s="7"/>
      <c r="G41" s="8"/>
      <c r="H41" s="7"/>
      <c r="I41" s="18"/>
    </row>
    <row r="42" spans="2:9" x14ac:dyDescent="0.25">
      <c r="B42" s="12" t="s">
        <v>26</v>
      </c>
      <c r="C42" s="13"/>
      <c r="D42" s="14"/>
      <c r="E42" s="13"/>
      <c r="F42" s="14"/>
      <c r="G42" s="13"/>
      <c r="H42" s="14"/>
      <c r="I42" s="32"/>
    </row>
    <row r="43" spans="2:9" x14ac:dyDescent="0.25">
      <c r="B43" s="12" t="s">
        <v>27</v>
      </c>
      <c r="C43" s="13"/>
      <c r="D43" s="14"/>
      <c r="E43" s="13"/>
      <c r="F43" s="14"/>
      <c r="G43" s="13"/>
      <c r="H43" s="14"/>
      <c r="I43" s="32"/>
    </row>
    <row r="44" spans="2:9" x14ac:dyDescent="0.25">
      <c r="B44" s="31"/>
      <c r="C44" s="8"/>
      <c r="D44" s="7"/>
      <c r="E44" s="8"/>
      <c r="F44" s="33" t="s">
        <v>28</v>
      </c>
      <c r="G44" s="8"/>
      <c r="H44" s="7"/>
      <c r="I44" s="18"/>
    </row>
    <row r="45" spans="2:9" x14ac:dyDescent="0.25">
      <c r="B45" s="16" t="s">
        <v>29</v>
      </c>
      <c r="C45" s="8"/>
      <c r="D45" s="179">
        <f>H20+H22+N4+N7</f>
        <v>1628.25</v>
      </c>
      <c r="E45" s="34"/>
      <c r="F45" s="180">
        <v>4.7E-2</v>
      </c>
      <c r="G45" s="19"/>
      <c r="H45" s="179">
        <f>D45*F45</f>
        <v>76.527749999999997</v>
      </c>
      <c r="I45" s="18"/>
    </row>
    <row r="46" spans="2:9" x14ac:dyDescent="0.25">
      <c r="B46" s="16" t="s">
        <v>30</v>
      </c>
      <c r="C46" s="21"/>
      <c r="D46" s="179">
        <f>D45+E48</f>
        <v>1789.25</v>
      </c>
      <c r="E46" s="35"/>
      <c r="F46" s="180">
        <v>1.6E-2</v>
      </c>
      <c r="G46" s="36"/>
      <c r="H46" s="179">
        <f t="shared" ref="H46:H47" si="0">D46*F46</f>
        <v>28.628</v>
      </c>
      <c r="I46" s="18"/>
    </row>
    <row r="47" spans="2:9" x14ac:dyDescent="0.25">
      <c r="B47" s="16" t="s">
        <v>31</v>
      </c>
      <c r="C47" s="8"/>
      <c r="D47" s="179">
        <f>D46</f>
        <v>1789.25</v>
      </c>
      <c r="E47" s="35"/>
      <c r="F47" s="180">
        <v>1E-3</v>
      </c>
      <c r="G47" s="36"/>
      <c r="H47" s="179">
        <f t="shared" si="0"/>
        <v>1.78925</v>
      </c>
      <c r="I47" s="18"/>
    </row>
    <row r="48" spans="2:9" x14ac:dyDescent="0.25">
      <c r="B48" s="16" t="s">
        <v>32</v>
      </c>
      <c r="C48" s="8"/>
      <c r="D48" s="17"/>
      <c r="E48" s="179">
        <v>161</v>
      </c>
      <c r="F48" s="180">
        <v>4.7E-2</v>
      </c>
      <c r="G48" s="36"/>
      <c r="H48" s="179">
        <f>E48*F48</f>
        <v>7.5670000000000002</v>
      </c>
      <c r="I48" s="18"/>
    </row>
    <row r="49" spans="2:9" x14ac:dyDescent="0.25">
      <c r="B49" s="16" t="s">
        <v>33</v>
      </c>
      <c r="C49" s="8"/>
      <c r="D49" s="17"/>
      <c r="E49" s="179"/>
      <c r="F49" s="180"/>
      <c r="G49" s="36"/>
      <c r="H49" s="179"/>
      <c r="I49" s="18"/>
    </row>
    <row r="50" spans="2:9" x14ac:dyDescent="0.25">
      <c r="B50" s="12" t="s">
        <v>34</v>
      </c>
      <c r="C50" s="13"/>
      <c r="D50" s="37"/>
      <c r="E50" s="37"/>
      <c r="F50" s="194"/>
      <c r="G50" s="37"/>
      <c r="H50" s="38">
        <f>SUM(H45:H49)</f>
        <v>114.512</v>
      </c>
      <c r="I50" s="32"/>
    </row>
    <row r="51" spans="2:9" x14ac:dyDescent="0.25">
      <c r="B51" s="31"/>
      <c r="C51" s="8"/>
      <c r="D51" s="17"/>
      <c r="E51" s="17"/>
      <c r="F51" s="17"/>
      <c r="G51" s="17"/>
      <c r="H51" s="22"/>
      <c r="I51" s="18"/>
    </row>
    <row r="52" spans="2:9" x14ac:dyDescent="0.25">
      <c r="B52" s="16" t="s">
        <v>35</v>
      </c>
      <c r="C52" s="181">
        <f>I40-H31+N7</f>
        <v>1584.25</v>
      </c>
      <c r="D52" s="19"/>
      <c r="E52" s="19"/>
      <c r="F52" s="182">
        <v>0.24</v>
      </c>
      <c r="G52" s="19"/>
      <c r="H52" s="179">
        <f>C52*F52</f>
        <v>380.21999999999997</v>
      </c>
      <c r="I52" s="18"/>
    </row>
    <row r="53" spans="2:9" x14ac:dyDescent="0.25">
      <c r="B53" s="16" t="s">
        <v>36</v>
      </c>
      <c r="C53" s="21"/>
      <c r="D53" s="19"/>
      <c r="E53" s="19"/>
      <c r="F53" s="190"/>
      <c r="G53" s="188"/>
      <c r="H53" s="178"/>
      <c r="I53" s="18"/>
    </row>
    <row r="54" spans="2:9" x14ac:dyDescent="0.25">
      <c r="B54" s="16" t="s">
        <v>37</v>
      </c>
      <c r="C54" s="8"/>
      <c r="D54" s="7"/>
      <c r="E54" s="8"/>
      <c r="F54" s="177"/>
      <c r="G54" s="176"/>
      <c r="H54" s="178"/>
      <c r="I54" s="18"/>
    </row>
    <row r="55" spans="2:9" x14ac:dyDescent="0.25">
      <c r="B55" s="16" t="s">
        <v>38</v>
      </c>
      <c r="C55" s="8"/>
      <c r="D55" s="20"/>
      <c r="E55" s="21"/>
      <c r="F55" s="172"/>
      <c r="G55" s="171"/>
      <c r="H55" s="178"/>
      <c r="I55" s="18"/>
    </row>
    <row r="56" spans="2:9" x14ac:dyDescent="0.25">
      <c r="B56" s="31"/>
      <c r="C56" s="8"/>
      <c r="D56" s="7"/>
      <c r="E56" s="8"/>
      <c r="F56" s="7"/>
      <c r="G56" s="8"/>
      <c r="H56" s="39"/>
      <c r="I56" s="18"/>
    </row>
    <row r="57" spans="2:9" x14ac:dyDescent="0.25">
      <c r="B57" s="12"/>
      <c r="C57" s="13"/>
      <c r="D57" s="14" t="s">
        <v>39</v>
      </c>
      <c r="E57" s="13"/>
      <c r="F57" s="28"/>
      <c r="G57" s="29"/>
      <c r="H57" s="40">
        <f>H50+H52+H53+H54+H55</f>
        <v>494.73199999999997</v>
      </c>
      <c r="I57" s="32"/>
    </row>
    <row r="58" spans="2:9" ht="15.75" thickBot="1" x14ac:dyDescent="0.3">
      <c r="B58" s="12"/>
      <c r="C58" s="13"/>
      <c r="D58" s="14" t="s">
        <v>40</v>
      </c>
      <c r="E58" s="13"/>
      <c r="F58" s="14"/>
      <c r="G58" s="29"/>
      <c r="H58" s="28"/>
      <c r="I58" s="41">
        <f>I40-H57</f>
        <v>1546.268</v>
      </c>
    </row>
    <row r="59" spans="2:9" x14ac:dyDescent="0.25">
      <c r="B59" s="31"/>
      <c r="C59" s="8"/>
      <c r="D59" s="17" t="s">
        <v>41</v>
      </c>
      <c r="E59" s="8"/>
      <c r="F59" s="7"/>
      <c r="G59" s="17" t="s">
        <v>42</v>
      </c>
      <c r="H59" s="7"/>
      <c r="I59" s="42" t="s">
        <v>43</v>
      </c>
    </row>
    <row r="60" spans="2:9" x14ac:dyDescent="0.25">
      <c r="B60" s="31"/>
      <c r="C60" s="8"/>
      <c r="D60" s="7"/>
      <c r="E60" s="8"/>
      <c r="F60" s="7"/>
      <c r="G60" s="8"/>
      <c r="H60" s="7"/>
      <c r="I60" s="18"/>
    </row>
    <row r="61" spans="2:9" ht="15.75" thickBot="1" x14ac:dyDescent="0.3">
      <c r="B61" s="43"/>
      <c r="C61" s="44"/>
      <c r="D61" s="45"/>
      <c r="E61" s="44"/>
      <c r="F61" s="45"/>
      <c r="G61" s="44"/>
      <c r="H61" s="45"/>
      <c r="I61" s="46"/>
    </row>
    <row r="62" spans="2:9" ht="15.75" thickBot="1" x14ac:dyDescent="0.3">
      <c r="B62" s="7"/>
      <c r="C62" s="8"/>
      <c r="D62" s="7"/>
      <c r="E62" s="8"/>
      <c r="F62" s="7"/>
      <c r="G62" s="8"/>
      <c r="H62" s="7"/>
      <c r="I62" s="8"/>
    </row>
    <row r="63" spans="2:9" ht="15" customHeight="1" x14ac:dyDescent="0.25">
      <c r="B63" s="372" t="s">
        <v>44</v>
      </c>
      <c r="C63" s="373"/>
      <c r="D63" s="373"/>
      <c r="E63" s="373"/>
      <c r="F63" s="373"/>
      <c r="G63" s="373"/>
      <c r="H63" s="373"/>
      <c r="I63" s="374"/>
    </row>
    <row r="64" spans="2:9" ht="15.75" thickBot="1" x14ac:dyDescent="0.3">
      <c r="B64" s="379" t="s">
        <v>45</v>
      </c>
      <c r="C64" s="380"/>
      <c r="D64" s="380"/>
      <c r="E64" s="380"/>
      <c r="F64" s="380"/>
      <c r="G64" s="380"/>
      <c r="H64" s="380"/>
      <c r="I64" s="381"/>
    </row>
    <row r="65" spans="2:9" x14ac:dyDescent="0.25">
      <c r="B65" s="16" t="s">
        <v>46</v>
      </c>
      <c r="C65" s="17"/>
      <c r="D65" s="17"/>
      <c r="E65" s="8"/>
      <c r="F65" s="7"/>
      <c r="G65" s="8"/>
      <c r="H65" s="7"/>
      <c r="I65" s="18"/>
    </row>
    <row r="66" spans="2:9" x14ac:dyDescent="0.25">
      <c r="B66" s="16" t="s">
        <v>47</v>
      </c>
      <c r="C66" s="17"/>
      <c r="D66" s="19"/>
      <c r="E66" s="183">
        <f>E68-E67</f>
        <v>1423.25</v>
      </c>
      <c r="F66" s="47"/>
      <c r="G66" s="47"/>
      <c r="H66" s="7"/>
      <c r="I66" s="18"/>
    </row>
    <row r="67" spans="2:9" x14ac:dyDescent="0.25">
      <c r="B67" s="16" t="s">
        <v>48</v>
      </c>
      <c r="C67" s="17"/>
      <c r="D67" s="24"/>
      <c r="E67" s="184">
        <f>N4</f>
        <v>205</v>
      </c>
      <c r="F67" s="47"/>
      <c r="G67" s="48" t="s">
        <v>28</v>
      </c>
      <c r="H67" s="375" t="s">
        <v>49</v>
      </c>
      <c r="I67" s="376"/>
    </row>
    <row r="68" spans="2:9" x14ac:dyDescent="0.25">
      <c r="B68" s="16"/>
      <c r="C68" s="17"/>
      <c r="D68" s="49" t="s">
        <v>50</v>
      </c>
      <c r="E68" s="184">
        <f>D45</f>
        <v>1628.25</v>
      </c>
      <c r="F68" s="47"/>
      <c r="G68" s="187">
        <v>0.23599999999999999</v>
      </c>
      <c r="H68" s="50"/>
      <c r="I68" s="195">
        <f>E68*G68</f>
        <v>384.267</v>
      </c>
    </row>
    <row r="69" spans="2:9" x14ac:dyDescent="0.25">
      <c r="B69" s="16"/>
      <c r="C69" s="17"/>
      <c r="D69" s="17"/>
      <c r="E69" s="47"/>
      <c r="F69" s="48" t="s">
        <v>51</v>
      </c>
      <c r="G69" s="193"/>
      <c r="H69" s="17"/>
      <c r="I69" s="196"/>
    </row>
    <row r="70" spans="2:9" ht="15" customHeight="1" x14ac:dyDescent="0.25">
      <c r="B70" s="377" t="s">
        <v>52</v>
      </c>
      <c r="C70" s="378"/>
      <c r="D70" s="378"/>
      <c r="E70" s="47" t="s">
        <v>53</v>
      </c>
      <c r="F70" s="183">
        <f>D46</f>
        <v>1789.25</v>
      </c>
      <c r="G70" s="185">
        <v>1.4999999999999999E-2</v>
      </c>
      <c r="H70" s="47"/>
      <c r="I70" s="195">
        <f>F70*G70</f>
        <v>26.838749999999997</v>
      </c>
    </row>
    <row r="71" spans="2:9" x14ac:dyDescent="0.25">
      <c r="B71" s="377"/>
      <c r="C71" s="378"/>
      <c r="D71" s="378"/>
      <c r="E71" s="47" t="s">
        <v>30</v>
      </c>
      <c r="F71" s="183">
        <f t="shared" ref="F71" si="1">D47</f>
        <v>1789.25</v>
      </c>
      <c r="G71" s="186">
        <v>6.7000000000000004E-2</v>
      </c>
      <c r="H71" s="51"/>
      <c r="I71" s="195">
        <f t="shared" ref="I71:I72" si="2">F71*G71</f>
        <v>119.87975</v>
      </c>
    </row>
    <row r="72" spans="2:9" x14ac:dyDescent="0.25">
      <c r="B72" s="377"/>
      <c r="C72" s="378"/>
      <c r="D72" s="378"/>
      <c r="E72" s="8" t="s">
        <v>54</v>
      </c>
      <c r="F72" s="183">
        <f>D46</f>
        <v>1789.25</v>
      </c>
      <c r="G72" s="186">
        <v>6.0000000000000001E-3</v>
      </c>
      <c r="H72" s="51"/>
      <c r="I72" s="195">
        <f t="shared" si="2"/>
        <v>10.7355</v>
      </c>
    </row>
    <row r="73" spans="2:9" x14ac:dyDescent="0.25">
      <c r="B73" s="192"/>
      <c r="C73" s="191"/>
      <c r="D73" s="191"/>
      <c r="E73" s="8" t="s">
        <v>55</v>
      </c>
      <c r="F73" s="183">
        <f>D46</f>
        <v>1789.25</v>
      </c>
      <c r="G73" s="186">
        <v>2E-3</v>
      </c>
      <c r="H73" s="51"/>
      <c r="I73" s="195">
        <f>F73*G73</f>
        <v>3.5785</v>
      </c>
    </row>
    <row r="74" spans="2:9" x14ac:dyDescent="0.25">
      <c r="B74" s="16" t="s">
        <v>56</v>
      </c>
      <c r="C74" s="17"/>
      <c r="D74" s="17"/>
      <c r="E74" s="8"/>
      <c r="F74" s="183">
        <f>H25</f>
        <v>161</v>
      </c>
      <c r="G74" s="186">
        <v>0.23599999999999999</v>
      </c>
      <c r="H74" s="51"/>
      <c r="I74" s="197">
        <f>F74*G74</f>
        <v>37.995999999999995</v>
      </c>
    </row>
    <row r="75" spans="2:9" x14ac:dyDescent="0.25">
      <c r="B75" s="16" t="s">
        <v>57</v>
      </c>
      <c r="C75" s="17"/>
      <c r="D75" s="17"/>
      <c r="E75" s="8"/>
      <c r="F75" s="184"/>
      <c r="G75" s="187"/>
      <c r="H75" s="52"/>
      <c r="I75" s="197" t="s">
        <v>313</v>
      </c>
    </row>
    <row r="76" spans="2:9" ht="15.75" thickBot="1" x14ac:dyDescent="0.3">
      <c r="B76" s="16" t="s">
        <v>58</v>
      </c>
      <c r="C76" s="17"/>
      <c r="D76" s="17"/>
      <c r="E76" s="8"/>
      <c r="F76" s="184"/>
      <c r="G76" s="8"/>
      <c r="H76" s="53" t="s">
        <v>59</v>
      </c>
      <c r="I76" s="54">
        <f>SUM(I68:I75)</f>
        <v>583.29549999999995</v>
      </c>
    </row>
    <row r="77" spans="2:9" ht="15.75" thickBot="1" x14ac:dyDescent="0.3">
      <c r="B77" s="55"/>
      <c r="C77" s="56"/>
      <c r="D77" s="57"/>
      <c r="E77" s="56"/>
      <c r="F77" s="57"/>
      <c r="G77" s="56"/>
      <c r="H77" s="57"/>
      <c r="I77" s="58"/>
    </row>
    <row r="80" spans="2:9" x14ac:dyDescent="0.25">
      <c r="F80" s="108"/>
      <c r="G80" s="108"/>
    </row>
  </sheetData>
  <mergeCells count="18">
    <mergeCell ref="H67:I67"/>
    <mergeCell ref="B70:D72"/>
    <mergeCell ref="C11:E11"/>
    <mergeCell ref="G11:I11"/>
    <mergeCell ref="C12:E12"/>
    <mergeCell ref="G12:I12"/>
    <mergeCell ref="C13:E13"/>
    <mergeCell ref="G13:I13"/>
    <mergeCell ref="C14:E14"/>
    <mergeCell ref="G14:I14"/>
    <mergeCell ref="D17:G17"/>
    <mergeCell ref="B64:I64"/>
    <mergeCell ref="O5:R5"/>
    <mergeCell ref="K2:N2"/>
    <mergeCell ref="B63:I63"/>
    <mergeCell ref="K5:N5"/>
    <mergeCell ref="O2:R2"/>
    <mergeCell ref="B2:I10"/>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AG80"/>
  <sheetViews>
    <sheetView topLeftCell="A57" zoomScale="120" zoomScaleNormal="120" workbookViewId="0">
      <selection activeCell="R4" sqref="R4"/>
    </sheetView>
  </sheetViews>
  <sheetFormatPr baseColWidth="10" defaultRowHeight="15" x14ac:dyDescent="0.25"/>
  <cols>
    <col min="1" max="1" width="1.140625" customWidth="1"/>
    <col min="2" max="2" width="11.5703125" style="59" customWidth="1"/>
    <col min="3" max="3" width="10" style="60" customWidth="1"/>
    <col min="4" max="4" width="11.42578125" style="59" customWidth="1"/>
    <col min="5" max="5" width="11.42578125" style="60" customWidth="1"/>
    <col min="6" max="6" width="13.7109375" style="59" customWidth="1"/>
    <col min="7" max="7" width="11.42578125" style="60" customWidth="1"/>
    <col min="8" max="8" width="12" style="59" bestFit="1" customWidth="1"/>
    <col min="9" max="9" width="12" style="60" customWidth="1"/>
    <col min="10" max="10" width="2.42578125" customWidth="1"/>
    <col min="11" max="11" width="22.85546875" customWidth="1"/>
    <col min="13" max="13" width="13.28515625" customWidth="1"/>
    <col min="14" max="14" width="13.7109375" customWidth="1"/>
    <col min="19" max="19" width="10.5703125" customWidth="1"/>
    <col min="20" max="20" width="3.140625" customWidth="1"/>
  </cols>
  <sheetData>
    <row r="2" spans="2:33" ht="15" customHeight="1" x14ac:dyDescent="0.25">
      <c r="B2" s="395" t="s">
        <v>257</v>
      </c>
      <c r="C2" s="396"/>
      <c r="D2" s="396"/>
      <c r="E2" s="396"/>
      <c r="F2" s="396"/>
      <c r="G2" s="396"/>
      <c r="H2" s="396"/>
      <c r="I2" s="397"/>
      <c r="K2" s="368" t="s">
        <v>169</v>
      </c>
      <c r="L2" s="369"/>
      <c r="M2" s="369"/>
      <c r="N2" s="370"/>
      <c r="O2" s="368" t="s">
        <v>236</v>
      </c>
      <c r="P2" s="369"/>
      <c r="Q2" s="369"/>
      <c r="R2" s="370"/>
      <c r="T2" s="112"/>
    </row>
    <row r="3" spans="2:33" x14ac:dyDescent="0.25">
      <c r="B3" s="398"/>
      <c r="C3" s="389"/>
      <c r="D3" s="389"/>
      <c r="E3" s="389"/>
      <c r="F3" s="389"/>
      <c r="G3" s="389"/>
      <c r="H3" s="389"/>
      <c r="I3" s="399"/>
      <c r="K3" s="97" t="s">
        <v>170</v>
      </c>
      <c r="L3" s="97" t="s">
        <v>171</v>
      </c>
      <c r="M3" s="97" t="s">
        <v>172</v>
      </c>
      <c r="N3" s="97" t="s">
        <v>173</v>
      </c>
      <c r="O3" s="97" t="s">
        <v>170</v>
      </c>
      <c r="P3" s="97"/>
      <c r="Q3" s="97"/>
      <c r="R3" s="97" t="s">
        <v>238</v>
      </c>
    </row>
    <row r="4" spans="2:33" x14ac:dyDescent="0.25">
      <c r="B4" s="398"/>
      <c r="C4" s="389"/>
      <c r="D4" s="389"/>
      <c r="E4" s="389"/>
      <c r="F4" s="389"/>
      <c r="G4" s="389"/>
      <c r="H4" s="389"/>
      <c r="I4" s="399"/>
      <c r="K4" s="98">
        <f>H20+H22</f>
        <v>1440</v>
      </c>
      <c r="L4" s="97">
        <v>2</v>
      </c>
      <c r="M4" s="98">
        <f>K4*L4</f>
        <v>2880</v>
      </c>
      <c r="N4" s="98">
        <f>M4/12</f>
        <v>240</v>
      </c>
      <c r="O4" s="98"/>
      <c r="P4" s="97"/>
      <c r="Q4" s="98"/>
      <c r="R4" s="98"/>
    </row>
    <row r="5" spans="2:33" x14ac:dyDescent="0.25">
      <c r="B5" s="398"/>
      <c r="C5" s="389"/>
      <c r="D5" s="389"/>
      <c r="E5" s="389"/>
      <c r="F5" s="389"/>
      <c r="G5" s="389"/>
      <c r="H5" s="389"/>
      <c r="I5" s="399"/>
      <c r="K5" s="371" t="s">
        <v>181</v>
      </c>
      <c r="L5" s="371"/>
      <c r="M5" s="371"/>
      <c r="N5" s="371"/>
      <c r="O5" s="371" t="s">
        <v>182</v>
      </c>
      <c r="P5" s="371"/>
      <c r="Q5" s="371"/>
      <c r="R5" s="371"/>
    </row>
    <row r="6" spans="2:33" x14ac:dyDescent="0.25">
      <c r="B6" s="398"/>
      <c r="C6" s="389"/>
      <c r="D6" s="389"/>
      <c r="E6" s="389"/>
      <c r="F6" s="389"/>
      <c r="G6" s="389"/>
      <c r="H6" s="389"/>
      <c r="I6" s="399"/>
      <c r="K6" s="98" t="s">
        <v>241</v>
      </c>
      <c r="L6" s="97" t="s">
        <v>240</v>
      </c>
      <c r="M6" s="98" t="s">
        <v>259</v>
      </c>
      <c r="N6" s="98" t="s">
        <v>260</v>
      </c>
      <c r="O6" s="98" t="s">
        <v>241</v>
      </c>
      <c r="P6" s="97" t="s">
        <v>261</v>
      </c>
      <c r="Q6" s="98" t="s">
        <v>242</v>
      </c>
      <c r="R6" s="98" t="s">
        <v>259</v>
      </c>
      <c r="S6" s="98" t="s">
        <v>260</v>
      </c>
    </row>
    <row r="7" spans="2:33" x14ac:dyDescent="0.25">
      <c r="B7" s="398"/>
      <c r="C7" s="389"/>
      <c r="D7" s="389"/>
      <c r="E7" s="389"/>
      <c r="F7" s="389"/>
      <c r="G7" s="389"/>
      <c r="H7" s="389"/>
      <c r="I7" s="399"/>
      <c r="K7" s="98"/>
      <c r="L7" s="97"/>
      <c r="M7" s="98"/>
      <c r="N7" s="98"/>
      <c r="O7" s="98"/>
      <c r="P7" s="97"/>
      <c r="Q7" s="98"/>
      <c r="R7" s="98"/>
      <c r="S7" s="98"/>
    </row>
    <row r="8" spans="2:33" x14ac:dyDescent="0.25">
      <c r="B8" s="398"/>
      <c r="C8" s="389"/>
      <c r="D8" s="389"/>
      <c r="E8" s="389"/>
      <c r="F8" s="389"/>
      <c r="G8" s="389"/>
      <c r="H8" s="389"/>
      <c r="I8" s="399"/>
    </row>
    <row r="9" spans="2:33" ht="15.75" thickBot="1" x14ac:dyDescent="0.3">
      <c r="B9" s="398"/>
      <c r="C9" s="389"/>
      <c r="D9" s="389"/>
      <c r="E9" s="389"/>
      <c r="F9" s="389"/>
      <c r="G9" s="389"/>
      <c r="H9" s="389"/>
      <c r="I9" s="399"/>
    </row>
    <row r="10" spans="2:33" ht="15.75" thickBot="1" x14ac:dyDescent="0.3">
      <c r="B10" s="405"/>
      <c r="C10" s="392"/>
      <c r="D10" s="392"/>
      <c r="E10" s="392"/>
      <c r="F10" s="392"/>
      <c r="G10" s="392"/>
      <c r="H10" s="392"/>
      <c r="I10" s="406"/>
      <c r="K10" s="99" t="s">
        <v>174</v>
      </c>
      <c r="L10" s="100"/>
      <c r="M10" s="100"/>
      <c r="N10" s="100"/>
      <c r="O10" s="100"/>
      <c r="P10" s="100"/>
      <c r="Q10" s="101"/>
    </row>
    <row r="11" spans="2:33" x14ac:dyDescent="0.25">
      <c r="B11" s="1" t="s">
        <v>0</v>
      </c>
      <c r="C11" s="383" t="s">
        <v>315</v>
      </c>
      <c r="D11" s="383"/>
      <c r="E11" s="383"/>
      <c r="F11" s="2" t="s">
        <v>1</v>
      </c>
      <c r="G11" s="383" t="s">
        <v>312</v>
      </c>
      <c r="H11" s="383"/>
      <c r="I11" s="384"/>
      <c r="K11" s="102" t="s">
        <v>175</v>
      </c>
      <c r="Q11" s="103"/>
    </row>
    <row r="12" spans="2:33" x14ac:dyDescent="0.25">
      <c r="B12" s="3" t="s">
        <v>2</v>
      </c>
      <c r="C12" s="357"/>
      <c r="D12" s="357"/>
      <c r="E12" s="357"/>
      <c r="F12" s="4" t="s">
        <v>3</v>
      </c>
      <c r="G12" s="357"/>
      <c r="H12" s="357"/>
      <c r="I12" s="358"/>
      <c r="K12" s="102" t="s">
        <v>176</v>
      </c>
      <c r="Q12" s="103"/>
    </row>
    <row r="13" spans="2:33" x14ac:dyDescent="0.25">
      <c r="B13" s="3" t="s">
        <v>4</v>
      </c>
      <c r="C13" s="357"/>
      <c r="D13" s="357"/>
      <c r="E13" s="357"/>
      <c r="F13" s="4" t="s">
        <v>5</v>
      </c>
      <c r="G13" s="357"/>
      <c r="H13" s="357"/>
      <c r="I13" s="358"/>
      <c r="K13" s="106"/>
      <c r="L13" s="110" t="s">
        <v>177</v>
      </c>
      <c r="Q13" s="103"/>
      <c r="Y13" s="96"/>
      <c r="Z13" s="96"/>
      <c r="AA13" s="96"/>
      <c r="AB13" s="96"/>
      <c r="AC13" s="96"/>
      <c r="AD13" s="96"/>
      <c r="AE13" s="96"/>
      <c r="AF13" s="96"/>
      <c r="AG13" s="96"/>
    </row>
    <row r="14" spans="2:33" x14ac:dyDescent="0.25">
      <c r="B14" s="3" t="s">
        <v>6</v>
      </c>
      <c r="C14" s="357"/>
      <c r="D14" s="357"/>
      <c r="E14" s="357"/>
      <c r="F14" s="5" t="s">
        <v>7</v>
      </c>
      <c r="G14" s="357" t="s">
        <v>316</v>
      </c>
      <c r="H14" s="357"/>
      <c r="I14" s="358"/>
      <c r="K14" s="106"/>
      <c r="L14" s="110" t="s">
        <v>178</v>
      </c>
      <c r="Q14" s="103"/>
    </row>
    <row r="15" spans="2:33" ht="15.75" thickBot="1" x14ac:dyDescent="0.3">
      <c r="B15" s="113"/>
      <c r="C15" s="115"/>
      <c r="D15" s="115"/>
      <c r="E15" s="115"/>
      <c r="F15" s="6" t="s">
        <v>8</v>
      </c>
      <c r="G15" s="116"/>
      <c r="H15" s="117">
        <v>3</v>
      </c>
      <c r="I15" s="114"/>
      <c r="K15" s="106"/>
      <c r="L15" s="110" t="s">
        <v>179</v>
      </c>
      <c r="Q15" s="103"/>
    </row>
    <row r="16" spans="2:33" ht="15.75" thickBot="1" x14ac:dyDescent="0.3">
      <c r="B16" s="7"/>
      <c r="C16" s="8"/>
      <c r="D16" s="7"/>
      <c r="E16" s="8"/>
      <c r="F16" s="7"/>
      <c r="G16" s="8"/>
      <c r="H16" s="7"/>
      <c r="I16" s="8"/>
      <c r="K16" s="107"/>
      <c r="L16" s="111" t="s">
        <v>180</v>
      </c>
      <c r="M16" s="104"/>
      <c r="N16" s="104"/>
      <c r="O16" s="104"/>
      <c r="P16" s="104"/>
      <c r="Q16" s="105"/>
    </row>
    <row r="17" spans="2:9" x14ac:dyDescent="0.25">
      <c r="B17" s="9" t="s">
        <v>9</v>
      </c>
      <c r="C17" s="10"/>
      <c r="D17" s="382" t="s">
        <v>286</v>
      </c>
      <c r="E17" s="382"/>
      <c r="F17" s="382"/>
      <c r="G17" s="382"/>
      <c r="H17" s="11" t="s">
        <v>10</v>
      </c>
      <c r="I17" s="168">
        <v>31</v>
      </c>
    </row>
    <row r="18" spans="2:9" x14ac:dyDescent="0.25">
      <c r="B18" s="12" t="s">
        <v>11</v>
      </c>
      <c r="C18" s="13"/>
      <c r="D18" s="14"/>
      <c r="E18" s="13"/>
      <c r="F18" s="14"/>
      <c r="G18" s="13"/>
      <c r="H18" s="14"/>
      <c r="I18" s="15" t="s">
        <v>12</v>
      </c>
    </row>
    <row r="19" spans="2:9" x14ac:dyDescent="0.25">
      <c r="B19" s="95" t="s">
        <v>13</v>
      </c>
      <c r="C19" s="17"/>
      <c r="D19" s="7"/>
      <c r="E19" s="8"/>
      <c r="F19" s="7"/>
      <c r="G19" s="8"/>
      <c r="H19" s="7"/>
      <c r="I19" s="18"/>
    </row>
    <row r="20" spans="2:9" x14ac:dyDescent="0.25">
      <c r="B20" s="16" t="s">
        <v>14</v>
      </c>
      <c r="C20" s="19"/>
      <c r="D20" s="20"/>
      <c r="E20" s="21"/>
      <c r="F20" s="20"/>
      <c r="G20" s="21"/>
      <c r="H20" s="179">
        <v>930</v>
      </c>
      <c r="I20" s="18"/>
    </row>
    <row r="21" spans="2:9" x14ac:dyDescent="0.25">
      <c r="B21" s="16" t="s">
        <v>15</v>
      </c>
      <c r="C21" s="17"/>
      <c r="D21" s="7"/>
      <c r="E21" s="8"/>
      <c r="F21" s="7"/>
      <c r="G21" s="8"/>
      <c r="H21" s="173"/>
      <c r="I21" s="18"/>
    </row>
    <row r="22" spans="2:9" x14ac:dyDescent="0.25">
      <c r="B22" s="169" t="s">
        <v>317</v>
      </c>
      <c r="C22" s="170"/>
      <c r="D22" s="170"/>
      <c r="E22" s="171"/>
      <c r="F22" s="172"/>
      <c r="G22" s="171"/>
      <c r="H22" s="173">
        <v>510</v>
      </c>
      <c r="I22" s="18"/>
    </row>
    <row r="23" spans="2:9" x14ac:dyDescent="0.25">
      <c r="B23" s="174" t="s">
        <v>318</v>
      </c>
      <c r="C23" s="175"/>
      <c r="D23" s="175"/>
      <c r="E23" s="176"/>
      <c r="F23" s="177"/>
      <c r="G23" s="176"/>
      <c r="H23" s="178">
        <v>448</v>
      </c>
      <c r="I23" s="18"/>
    </row>
    <row r="24" spans="2:9" x14ac:dyDescent="0.25">
      <c r="B24" s="169" t="s">
        <v>319</v>
      </c>
      <c r="C24" s="23"/>
      <c r="D24" s="23"/>
      <c r="E24" s="24"/>
      <c r="F24" s="25"/>
      <c r="G24" s="24"/>
      <c r="H24" s="173">
        <v>220</v>
      </c>
      <c r="I24" s="18"/>
    </row>
    <row r="25" spans="2:9" x14ac:dyDescent="0.25">
      <c r="B25" s="16" t="s">
        <v>16</v>
      </c>
      <c r="C25" s="17"/>
      <c r="D25" s="26"/>
      <c r="E25" s="24"/>
      <c r="F25" s="25"/>
      <c r="G25" s="24"/>
      <c r="H25" s="178">
        <v>110</v>
      </c>
      <c r="I25" s="18"/>
    </row>
    <row r="26" spans="2:9" x14ac:dyDescent="0.25">
      <c r="B26" s="16" t="s">
        <v>17</v>
      </c>
      <c r="C26" s="17"/>
      <c r="D26" s="25"/>
      <c r="E26" s="24"/>
      <c r="F26" s="25"/>
      <c r="G26" s="24"/>
      <c r="H26" s="178"/>
      <c r="I26" s="18"/>
    </row>
    <row r="27" spans="2:9" x14ac:dyDescent="0.25">
      <c r="B27" s="16" t="s">
        <v>18</v>
      </c>
      <c r="C27" s="17"/>
      <c r="D27" s="7"/>
      <c r="E27" s="24"/>
      <c r="F27" s="25"/>
      <c r="G27" s="24"/>
      <c r="H27" s="178"/>
      <c r="I27" s="18"/>
    </row>
    <row r="28" spans="2:9" x14ac:dyDescent="0.25">
      <c r="B28" s="16" t="s">
        <v>19</v>
      </c>
      <c r="C28" s="17"/>
      <c r="D28" s="20"/>
      <c r="E28" s="24"/>
      <c r="F28" s="25"/>
      <c r="G28" s="24"/>
      <c r="H28" s="178"/>
      <c r="I28" s="18"/>
    </row>
    <row r="29" spans="2:9" x14ac:dyDescent="0.25">
      <c r="B29" s="95" t="s">
        <v>20</v>
      </c>
      <c r="C29" s="17"/>
      <c r="D29" s="7"/>
      <c r="E29" s="8"/>
      <c r="F29" s="7"/>
      <c r="G29" s="8"/>
      <c r="H29" s="173"/>
      <c r="I29" s="18"/>
    </row>
    <row r="30" spans="2:9" x14ac:dyDescent="0.25">
      <c r="B30" s="16" t="s">
        <v>21</v>
      </c>
      <c r="C30" s="17"/>
      <c r="D30" s="7"/>
      <c r="E30" s="8"/>
      <c r="F30" s="7"/>
      <c r="G30" s="8"/>
      <c r="H30" s="173"/>
      <c r="I30" s="18"/>
    </row>
    <row r="31" spans="2:9" x14ac:dyDescent="0.25">
      <c r="B31" s="169"/>
      <c r="C31" s="23"/>
      <c r="D31" s="23"/>
      <c r="E31" s="21"/>
      <c r="F31" s="20"/>
      <c r="G31" s="21"/>
      <c r="H31" s="179"/>
      <c r="I31" s="18"/>
    </row>
    <row r="32" spans="2:9" x14ac:dyDescent="0.25">
      <c r="B32" s="169"/>
      <c r="C32" s="23"/>
      <c r="D32" s="23"/>
      <c r="E32" s="21"/>
      <c r="F32" s="20"/>
      <c r="G32" s="21"/>
      <c r="H32" s="179"/>
      <c r="I32" s="18"/>
    </row>
    <row r="33" spans="2:9" x14ac:dyDescent="0.25">
      <c r="B33" s="16" t="s">
        <v>22</v>
      </c>
      <c r="C33" s="17"/>
      <c r="D33" s="7"/>
      <c r="E33" s="8"/>
      <c r="F33" s="7"/>
      <c r="G33" s="8"/>
      <c r="H33" s="189"/>
      <c r="I33" s="18"/>
    </row>
    <row r="34" spans="2:9" x14ac:dyDescent="0.25">
      <c r="B34" s="169"/>
      <c r="C34" s="23"/>
      <c r="D34" s="23"/>
      <c r="E34" s="21"/>
      <c r="F34" s="20"/>
      <c r="G34" s="21"/>
      <c r="H34" s="179"/>
      <c r="I34" s="18"/>
    </row>
    <row r="35" spans="2:9" x14ac:dyDescent="0.25">
      <c r="B35" s="16" t="s">
        <v>23</v>
      </c>
      <c r="C35" s="17"/>
      <c r="D35" s="7"/>
      <c r="E35" s="8"/>
      <c r="F35" s="7"/>
      <c r="G35" s="8"/>
      <c r="H35" s="173"/>
      <c r="I35" s="18"/>
    </row>
    <row r="36" spans="2:9" x14ac:dyDescent="0.25">
      <c r="B36" s="169"/>
      <c r="C36" s="23"/>
      <c r="D36" s="27"/>
      <c r="E36" s="21"/>
      <c r="F36" s="20"/>
      <c r="G36" s="21"/>
      <c r="H36" s="179"/>
      <c r="I36" s="18"/>
    </row>
    <row r="37" spans="2:9" x14ac:dyDescent="0.25">
      <c r="B37" s="16" t="s">
        <v>24</v>
      </c>
      <c r="C37" s="17"/>
      <c r="D37" s="7"/>
      <c r="E37" s="8"/>
      <c r="F37" s="7"/>
      <c r="G37" s="8"/>
      <c r="H37" s="189"/>
      <c r="I37" s="18"/>
    </row>
    <row r="38" spans="2:9" x14ac:dyDescent="0.25">
      <c r="B38" s="169"/>
      <c r="C38" s="23"/>
      <c r="D38" s="23"/>
      <c r="E38" s="21"/>
      <c r="F38" s="20"/>
      <c r="G38" s="21"/>
      <c r="H38" s="179"/>
      <c r="I38" s="18"/>
    </row>
    <row r="39" spans="2:9" x14ac:dyDescent="0.25">
      <c r="B39" s="169"/>
      <c r="C39" s="23"/>
      <c r="D39" s="23"/>
      <c r="E39" s="21"/>
      <c r="F39" s="20"/>
      <c r="G39" s="21"/>
      <c r="H39" s="179"/>
      <c r="I39" s="18"/>
    </row>
    <row r="40" spans="2:9" ht="15.75" thickBot="1" x14ac:dyDescent="0.3">
      <c r="B40" s="12"/>
      <c r="C40" s="13"/>
      <c r="D40" s="14" t="s">
        <v>25</v>
      </c>
      <c r="E40" s="13"/>
      <c r="F40" s="28"/>
      <c r="G40" s="29"/>
      <c r="H40" s="28"/>
      <c r="I40" s="30">
        <f>SUM(H20:H39)</f>
        <v>2218</v>
      </c>
    </row>
    <row r="41" spans="2:9" x14ac:dyDescent="0.25">
      <c r="B41" s="31"/>
      <c r="C41" s="8"/>
      <c r="D41" s="7"/>
      <c r="E41" s="8"/>
      <c r="F41" s="7"/>
      <c r="G41" s="8"/>
      <c r="H41" s="7"/>
      <c r="I41" s="18"/>
    </row>
    <row r="42" spans="2:9" x14ac:dyDescent="0.25">
      <c r="B42" s="12" t="s">
        <v>26</v>
      </c>
      <c r="C42" s="13"/>
      <c r="D42" s="14"/>
      <c r="E42" s="13"/>
      <c r="F42" s="14"/>
      <c r="G42" s="13"/>
      <c r="H42" s="14"/>
      <c r="I42" s="32"/>
    </row>
    <row r="43" spans="2:9" x14ac:dyDescent="0.25">
      <c r="B43" s="12" t="s">
        <v>27</v>
      </c>
      <c r="C43" s="13"/>
      <c r="D43" s="14"/>
      <c r="E43" s="13"/>
      <c r="F43" s="14"/>
      <c r="G43" s="13"/>
      <c r="H43" s="14"/>
      <c r="I43" s="32"/>
    </row>
    <row r="44" spans="2:9" x14ac:dyDescent="0.25">
      <c r="B44" s="31"/>
      <c r="C44" s="8"/>
      <c r="D44" s="7"/>
      <c r="E44" s="8"/>
      <c r="F44" s="33" t="s">
        <v>28</v>
      </c>
      <c r="G44" s="8"/>
      <c r="H44" s="7"/>
      <c r="I44" s="18"/>
    </row>
    <row r="45" spans="2:9" x14ac:dyDescent="0.25">
      <c r="B45" s="16" t="s">
        <v>29</v>
      </c>
      <c r="C45" s="8"/>
      <c r="D45" s="179">
        <f>H20+H22+H23+H24+N4</f>
        <v>2348</v>
      </c>
      <c r="E45" s="34"/>
      <c r="F45" s="180">
        <v>4.7E-2</v>
      </c>
      <c r="G45" s="19"/>
      <c r="H45" s="179">
        <f>D45*F45</f>
        <v>110.35599999999999</v>
      </c>
      <c r="I45" s="18"/>
    </row>
    <row r="46" spans="2:9" x14ac:dyDescent="0.25">
      <c r="B46" s="16" t="s">
        <v>30</v>
      </c>
      <c r="C46" s="21"/>
      <c r="D46" s="179">
        <f>D45+E48</f>
        <v>2458</v>
      </c>
      <c r="E46" s="35"/>
      <c r="F46" s="180">
        <v>1.6E-2</v>
      </c>
      <c r="G46" s="36"/>
      <c r="H46" s="179">
        <f t="shared" ref="H46:H47" si="0">D46*F46</f>
        <v>39.328000000000003</v>
      </c>
      <c r="I46" s="18"/>
    </row>
    <row r="47" spans="2:9" x14ac:dyDescent="0.25">
      <c r="B47" s="16" t="s">
        <v>31</v>
      </c>
      <c r="C47" s="8"/>
      <c r="D47" s="179">
        <f>D46+E49</f>
        <v>2458</v>
      </c>
      <c r="E47" s="35"/>
      <c r="F47" s="180">
        <v>1E-3</v>
      </c>
      <c r="G47" s="36"/>
      <c r="H47" s="179">
        <f t="shared" si="0"/>
        <v>2.4580000000000002</v>
      </c>
      <c r="I47" s="18"/>
    </row>
    <row r="48" spans="2:9" x14ac:dyDescent="0.25">
      <c r="B48" s="16" t="s">
        <v>32</v>
      </c>
      <c r="C48" s="8"/>
      <c r="D48" s="17"/>
      <c r="E48" s="179">
        <f>H25</f>
        <v>110</v>
      </c>
      <c r="F48" s="180">
        <v>4.7E-2</v>
      </c>
      <c r="G48" s="36"/>
      <c r="H48" s="179">
        <f>E48*F48</f>
        <v>5.17</v>
      </c>
      <c r="I48" s="18"/>
    </row>
    <row r="49" spans="2:9" x14ac:dyDescent="0.25">
      <c r="B49" s="16" t="s">
        <v>33</v>
      </c>
      <c r="C49" s="8"/>
      <c r="D49" s="17"/>
      <c r="E49" s="179"/>
      <c r="F49" s="180"/>
      <c r="G49" s="36"/>
      <c r="H49" s="179"/>
      <c r="I49" s="18"/>
    </row>
    <row r="50" spans="2:9" x14ac:dyDescent="0.25">
      <c r="B50" s="12" t="s">
        <v>34</v>
      </c>
      <c r="C50" s="13"/>
      <c r="D50" s="37"/>
      <c r="E50" s="37"/>
      <c r="F50" s="194"/>
      <c r="G50" s="37"/>
      <c r="H50" s="38">
        <f>SUM(H45:H49)</f>
        <v>157.31199999999998</v>
      </c>
      <c r="I50" s="32"/>
    </row>
    <row r="51" spans="2:9" x14ac:dyDescent="0.25">
      <c r="B51" s="31"/>
      <c r="C51" s="8"/>
      <c r="D51" s="17"/>
      <c r="E51" s="17"/>
      <c r="F51" s="17"/>
      <c r="G51" s="17"/>
      <c r="H51" s="22"/>
      <c r="I51" s="18"/>
    </row>
    <row r="52" spans="2:9" x14ac:dyDescent="0.25">
      <c r="B52" s="16" t="s">
        <v>35</v>
      </c>
      <c r="C52" s="181">
        <v>2218</v>
      </c>
      <c r="D52" s="19"/>
      <c r="E52" s="19"/>
      <c r="F52" s="182">
        <v>0.12</v>
      </c>
      <c r="G52" s="19"/>
      <c r="H52" s="179">
        <f>C52*F52</f>
        <v>266.15999999999997</v>
      </c>
      <c r="I52" s="18"/>
    </row>
    <row r="53" spans="2:9" x14ac:dyDescent="0.25">
      <c r="B53" s="16" t="s">
        <v>36</v>
      </c>
      <c r="C53" s="21"/>
      <c r="D53" s="19"/>
      <c r="E53" s="19"/>
      <c r="F53" s="190"/>
      <c r="G53" s="188"/>
      <c r="H53" s="178"/>
      <c r="I53" s="18"/>
    </row>
    <row r="54" spans="2:9" x14ac:dyDescent="0.25">
      <c r="B54" s="16" t="s">
        <v>37</v>
      </c>
      <c r="C54" s="8"/>
      <c r="D54" s="7"/>
      <c r="E54" s="8"/>
      <c r="F54" s="177"/>
      <c r="G54" s="176"/>
      <c r="H54" s="178"/>
      <c r="I54" s="18"/>
    </row>
    <row r="55" spans="2:9" x14ac:dyDescent="0.25">
      <c r="B55" s="16" t="s">
        <v>38</v>
      </c>
      <c r="C55" s="8"/>
      <c r="D55" s="20"/>
      <c r="E55" s="21"/>
      <c r="F55" s="172"/>
      <c r="G55" s="171"/>
      <c r="H55" s="178"/>
      <c r="I55" s="18"/>
    </row>
    <row r="56" spans="2:9" x14ac:dyDescent="0.25">
      <c r="B56" s="31"/>
      <c r="C56" s="8"/>
      <c r="D56" s="7"/>
      <c r="E56" s="8"/>
      <c r="F56" s="7"/>
      <c r="G56" s="8"/>
      <c r="H56" s="39"/>
      <c r="I56" s="18"/>
    </row>
    <row r="57" spans="2:9" x14ac:dyDescent="0.25">
      <c r="B57" s="12"/>
      <c r="C57" s="13"/>
      <c r="D57" s="14" t="s">
        <v>39</v>
      </c>
      <c r="E57" s="13"/>
      <c r="F57" s="28"/>
      <c r="G57" s="29"/>
      <c r="H57" s="40">
        <f>H50+H52+H53+H54+H55</f>
        <v>423.47199999999998</v>
      </c>
      <c r="I57" s="32"/>
    </row>
    <row r="58" spans="2:9" ht="15.75" thickBot="1" x14ac:dyDescent="0.3">
      <c r="B58" s="12"/>
      <c r="C58" s="13"/>
      <c r="D58" s="14" t="s">
        <v>40</v>
      </c>
      <c r="E58" s="13"/>
      <c r="F58" s="14"/>
      <c r="G58" s="29"/>
      <c r="H58" s="28"/>
      <c r="I58" s="41">
        <f>I40-H57</f>
        <v>1794.528</v>
      </c>
    </row>
    <row r="59" spans="2:9" x14ac:dyDescent="0.25">
      <c r="B59" s="31"/>
      <c r="C59" s="8"/>
      <c r="D59" s="17" t="s">
        <v>41</v>
      </c>
      <c r="E59" s="8"/>
      <c r="F59" s="7"/>
      <c r="G59" s="17" t="s">
        <v>42</v>
      </c>
      <c r="H59" s="7"/>
      <c r="I59" s="42" t="s">
        <v>43</v>
      </c>
    </row>
    <row r="60" spans="2:9" x14ac:dyDescent="0.25">
      <c r="B60" s="31"/>
      <c r="C60" s="8"/>
      <c r="D60" s="7"/>
      <c r="E60" s="8"/>
      <c r="F60" s="7"/>
      <c r="G60" s="8"/>
      <c r="H60" s="7"/>
      <c r="I60" s="18"/>
    </row>
    <row r="61" spans="2:9" ht="15.75" thickBot="1" x14ac:dyDescent="0.3">
      <c r="B61" s="43"/>
      <c r="C61" s="44"/>
      <c r="D61" s="45"/>
      <c r="E61" s="44"/>
      <c r="F61" s="45"/>
      <c r="G61" s="44"/>
      <c r="H61" s="45"/>
      <c r="I61" s="46"/>
    </row>
    <row r="62" spans="2:9" ht="15.75" thickBot="1" x14ac:dyDescent="0.3">
      <c r="B62" s="7"/>
      <c r="C62" s="8"/>
      <c r="D62" s="7"/>
      <c r="E62" s="8"/>
      <c r="F62" s="7"/>
      <c r="G62" s="8"/>
      <c r="H62" s="7"/>
      <c r="I62" s="8"/>
    </row>
    <row r="63" spans="2:9" ht="15" customHeight="1" x14ac:dyDescent="0.25">
      <c r="B63" s="372" t="s">
        <v>44</v>
      </c>
      <c r="C63" s="373"/>
      <c r="D63" s="373"/>
      <c r="E63" s="373"/>
      <c r="F63" s="373"/>
      <c r="G63" s="373"/>
      <c r="H63" s="373"/>
      <c r="I63" s="374"/>
    </row>
    <row r="64" spans="2:9" ht="15.75" thickBot="1" x14ac:dyDescent="0.3">
      <c r="B64" s="379" t="s">
        <v>45</v>
      </c>
      <c r="C64" s="380"/>
      <c r="D64" s="380"/>
      <c r="E64" s="380"/>
      <c r="F64" s="380"/>
      <c r="G64" s="380"/>
      <c r="H64" s="380"/>
      <c r="I64" s="381"/>
    </row>
    <row r="65" spans="2:9" x14ac:dyDescent="0.25">
      <c r="B65" s="16" t="s">
        <v>46</v>
      </c>
      <c r="C65" s="17"/>
      <c r="D65" s="17"/>
      <c r="E65" s="8"/>
      <c r="F65" s="7"/>
      <c r="G65" s="8"/>
      <c r="H65" s="7"/>
      <c r="I65" s="18"/>
    </row>
    <row r="66" spans="2:9" x14ac:dyDescent="0.25">
      <c r="B66" s="16" t="s">
        <v>47</v>
      </c>
      <c r="C66" s="17"/>
      <c r="D66" s="19"/>
      <c r="E66" s="183">
        <f>E68-E67</f>
        <v>2108</v>
      </c>
      <c r="F66" s="47"/>
      <c r="G66" s="47"/>
      <c r="H66" s="7"/>
      <c r="I66" s="18"/>
    </row>
    <row r="67" spans="2:9" x14ac:dyDescent="0.25">
      <c r="B67" s="16" t="s">
        <v>48</v>
      </c>
      <c r="C67" s="17"/>
      <c r="D67" s="24"/>
      <c r="E67" s="184">
        <f>N4</f>
        <v>240</v>
      </c>
      <c r="F67" s="47"/>
      <c r="G67" s="48" t="s">
        <v>28</v>
      </c>
      <c r="H67" s="375" t="s">
        <v>49</v>
      </c>
      <c r="I67" s="376"/>
    </row>
    <row r="68" spans="2:9" x14ac:dyDescent="0.25">
      <c r="B68" s="16"/>
      <c r="C68" s="17"/>
      <c r="D68" s="49" t="s">
        <v>50</v>
      </c>
      <c r="E68" s="184">
        <f>D45</f>
        <v>2348</v>
      </c>
      <c r="F68" s="47"/>
      <c r="G68" s="187">
        <v>0.23599999999999999</v>
      </c>
      <c r="H68" s="50"/>
      <c r="I68" s="195">
        <f>E68*G68</f>
        <v>554.12799999999993</v>
      </c>
    </row>
    <row r="69" spans="2:9" x14ac:dyDescent="0.25">
      <c r="B69" s="16"/>
      <c r="C69" s="17"/>
      <c r="D69" s="17"/>
      <c r="E69" s="47"/>
      <c r="F69" s="48" t="s">
        <v>51</v>
      </c>
      <c r="G69" s="193"/>
      <c r="H69" s="17"/>
      <c r="I69" s="196"/>
    </row>
    <row r="70" spans="2:9" ht="15" customHeight="1" x14ac:dyDescent="0.25">
      <c r="B70" s="377" t="s">
        <v>52</v>
      </c>
      <c r="C70" s="378"/>
      <c r="D70" s="378"/>
      <c r="E70" s="47" t="s">
        <v>53</v>
      </c>
      <c r="F70" s="183">
        <f>D46</f>
        <v>2458</v>
      </c>
      <c r="G70" s="185">
        <v>1.4999999999999999E-2</v>
      </c>
      <c r="H70" s="47"/>
      <c r="I70" s="195">
        <f>F70*G70</f>
        <v>36.869999999999997</v>
      </c>
    </row>
    <row r="71" spans="2:9" x14ac:dyDescent="0.25">
      <c r="B71" s="377"/>
      <c r="C71" s="378"/>
      <c r="D71" s="378"/>
      <c r="E71" s="47" t="s">
        <v>30</v>
      </c>
      <c r="F71" s="183">
        <f t="shared" ref="F71" si="1">D47</f>
        <v>2458</v>
      </c>
      <c r="G71" s="186">
        <v>6.7000000000000004E-2</v>
      </c>
      <c r="H71" s="51"/>
      <c r="I71" s="195">
        <f t="shared" ref="I71:I74" si="2">F71*G71</f>
        <v>164.68600000000001</v>
      </c>
    </row>
    <row r="72" spans="2:9" x14ac:dyDescent="0.25">
      <c r="B72" s="377"/>
      <c r="C72" s="378"/>
      <c r="D72" s="378"/>
      <c r="E72" s="8" t="s">
        <v>54</v>
      </c>
      <c r="F72" s="183">
        <f>D47</f>
        <v>2458</v>
      </c>
      <c r="G72" s="186">
        <v>6.0000000000000001E-3</v>
      </c>
      <c r="H72" s="51"/>
      <c r="I72" s="195">
        <f t="shared" si="2"/>
        <v>14.748000000000001</v>
      </c>
    </row>
    <row r="73" spans="2:9" x14ac:dyDescent="0.25">
      <c r="B73" s="192"/>
      <c r="C73" s="191"/>
      <c r="D73" s="191"/>
      <c r="E73" s="8" t="s">
        <v>55</v>
      </c>
      <c r="F73" s="183">
        <f>D47</f>
        <v>2458</v>
      </c>
      <c r="G73" s="186">
        <v>2E-3</v>
      </c>
      <c r="H73" s="51"/>
      <c r="I73" s="195">
        <f t="shared" si="2"/>
        <v>4.9160000000000004</v>
      </c>
    </row>
    <row r="74" spans="2:9" x14ac:dyDescent="0.25">
      <c r="B74" s="16" t="s">
        <v>56</v>
      </c>
      <c r="C74" s="17"/>
      <c r="D74" s="17"/>
      <c r="E74" s="8"/>
      <c r="F74" s="183">
        <f>H25</f>
        <v>110</v>
      </c>
      <c r="G74" s="186">
        <v>0.23599999999999999</v>
      </c>
      <c r="H74" s="51"/>
      <c r="I74" s="195">
        <f t="shared" si="2"/>
        <v>25.959999999999997</v>
      </c>
    </row>
    <row r="75" spans="2:9" x14ac:dyDescent="0.25">
      <c r="B75" s="16" t="s">
        <v>57</v>
      </c>
      <c r="C75" s="17"/>
      <c r="D75" s="17"/>
      <c r="E75" s="8"/>
      <c r="F75" s="184"/>
      <c r="G75" s="187"/>
      <c r="H75" s="52"/>
      <c r="I75" s="197"/>
    </row>
    <row r="76" spans="2:9" ht="15.75" thickBot="1" x14ac:dyDescent="0.3">
      <c r="B76" s="16" t="s">
        <v>58</v>
      </c>
      <c r="C76" s="17"/>
      <c r="D76" s="17"/>
      <c r="E76" s="8"/>
      <c r="F76" s="184"/>
      <c r="G76" s="8"/>
      <c r="H76" s="53" t="s">
        <v>59</v>
      </c>
      <c r="I76" s="54">
        <f>SUM(I68:I75)</f>
        <v>801.30800000000011</v>
      </c>
    </row>
    <row r="77" spans="2:9" ht="15.75" thickBot="1" x14ac:dyDescent="0.3">
      <c r="B77" s="55"/>
      <c r="C77" s="56"/>
      <c r="D77" s="57"/>
      <c r="E77" s="56"/>
      <c r="F77" s="57"/>
      <c r="G77" s="56"/>
      <c r="H77" s="57"/>
      <c r="I77" s="58"/>
    </row>
    <row r="80" spans="2:9" x14ac:dyDescent="0.25">
      <c r="F80" s="108"/>
      <c r="G80" s="108"/>
    </row>
  </sheetData>
  <mergeCells count="18">
    <mergeCell ref="O2:R2"/>
    <mergeCell ref="B64:I64"/>
    <mergeCell ref="C11:E11"/>
    <mergeCell ref="G11:I11"/>
    <mergeCell ref="C12:E12"/>
    <mergeCell ref="G12:I12"/>
    <mergeCell ref="C13:E13"/>
    <mergeCell ref="G13:I13"/>
    <mergeCell ref="C14:E14"/>
    <mergeCell ref="G14:I14"/>
    <mergeCell ref="D17:G17"/>
    <mergeCell ref="B2:I10"/>
    <mergeCell ref="O5:R5"/>
    <mergeCell ref="K2:N2"/>
    <mergeCell ref="B63:I63"/>
    <mergeCell ref="H67:I67"/>
    <mergeCell ref="B70:D72"/>
    <mergeCell ref="K5:N5"/>
  </mergeCell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2:AH80"/>
  <sheetViews>
    <sheetView tabSelected="1" topLeftCell="A81" zoomScale="120" zoomScaleNormal="120" workbookViewId="0">
      <selection activeCell="D53" sqref="D53"/>
    </sheetView>
  </sheetViews>
  <sheetFormatPr baseColWidth="10" defaultRowHeight="15" x14ac:dyDescent="0.25"/>
  <cols>
    <col min="1" max="2" width="1.140625" customWidth="1"/>
    <col min="3" max="3" width="11.5703125" style="59" customWidth="1"/>
    <col min="4" max="4" width="10" style="60" customWidth="1"/>
    <col min="5" max="5" width="11.42578125" style="59" customWidth="1"/>
    <col min="6" max="6" width="11.42578125" style="60" customWidth="1"/>
    <col min="7" max="7" width="13.7109375" style="59" customWidth="1"/>
    <col min="8" max="8" width="11.42578125" style="60" customWidth="1"/>
    <col min="9" max="9" width="12" style="59" bestFit="1" customWidth="1"/>
    <col min="10" max="10" width="12" style="60" customWidth="1"/>
    <col min="11" max="11" width="0.7109375" customWidth="1"/>
    <col min="12" max="12" width="22.85546875" customWidth="1"/>
    <col min="14" max="14" width="13.28515625" customWidth="1"/>
    <col min="15" max="15" width="13.7109375" customWidth="1"/>
    <col min="20" max="20" width="11.42578125" customWidth="1"/>
  </cols>
  <sheetData>
    <row r="2" spans="3:34" x14ac:dyDescent="0.25">
      <c r="C2" s="395" t="s">
        <v>255</v>
      </c>
      <c r="D2" s="396"/>
      <c r="E2" s="396"/>
      <c r="F2" s="396"/>
      <c r="G2" s="396"/>
      <c r="H2" s="396"/>
      <c r="I2" s="396"/>
      <c r="J2" s="397"/>
      <c r="L2" s="368" t="s">
        <v>169</v>
      </c>
      <c r="M2" s="369"/>
      <c r="N2" s="369"/>
      <c r="O2" s="370"/>
      <c r="P2" s="368" t="s">
        <v>236</v>
      </c>
      <c r="Q2" s="369"/>
      <c r="R2" s="369"/>
      <c r="S2" s="370"/>
    </row>
    <row r="3" spans="3:34" x14ac:dyDescent="0.25">
      <c r="C3" s="398"/>
      <c r="D3" s="389"/>
      <c r="E3" s="389"/>
      <c r="F3" s="389"/>
      <c r="G3" s="389"/>
      <c r="H3" s="389"/>
      <c r="I3" s="389"/>
      <c r="J3" s="399"/>
      <c r="L3" s="97" t="s">
        <v>170</v>
      </c>
      <c r="M3" s="97" t="s">
        <v>171</v>
      </c>
      <c r="N3" s="97" t="s">
        <v>172</v>
      </c>
      <c r="O3" s="97" t="s">
        <v>173</v>
      </c>
      <c r="P3" s="368" t="s">
        <v>170</v>
      </c>
      <c r="Q3" s="370"/>
      <c r="R3" s="368" t="s">
        <v>238</v>
      </c>
      <c r="S3" s="370"/>
    </row>
    <row r="4" spans="3:34" x14ac:dyDescent="0.25">
      <c r="C4" s="398"/>
      <c r="D4" s="389"/>
      <c r="E4" s="389"/>
      <c r="F4" s="389"/>
      <c r="G4" s="389"/>
      <c r="H4" s="389"/>
      <c r="I4" s="389"/>
      <c r="J4" s="399"/>
      <c r="L4" s="98">
        <f>I20+I22</f>
        <v>990</v>
      </c>
      <c r="M4" s="97">
        <v>2</v>
      </c>
      <c r="N4" s="98">
        <f>L4*M4</f>
        <v>1980</v>
      </c>
      <c r="O4" s="98">
        <f>N4/12</f>
        <v>165</v>
      </c>
      <c r="P4" s="403"/>
      <c r="Q4" s="404"/>
      <c r="R4" s="403"/>
      <c r="S4" s="404"/>
    </row>
    <row r="5" spans="3:34" x14ac:dyDescent="0.25">
      <c r="C5" s="398"/>
      <c r="D5" s="389"/>
      <c r="E5" s="389"/>
      <c r="F5" s="389"/>
      <c r="G5" s="389"/>
      <c r="H5" s="389"/>
      <c r="I5" s="389"/>
      <c r="J5" s="399"/>
      <c r="L5" s="371" t="s">
        <v>181</v>
      </c>
      <c r="M5" s="371"/>
      <c r="N5" s="371"/>
      <c r="O5" s="371"/>
      <c r="P5" s="371" t="s">
        <v>182</v>
      </c>
      <c r="Q5" s="371"/>
      <c r="R5" s="371"/>
      <c r="S5" s="371"/>
    </row>
    <row r="6" spans="3:34" x14ac:dyDescent="0.25">
      <c r="C6" s="398"/>
      <c r="D6" s="389"/>
      <c r="E6" s="389"/>
      <c r="F6" s="389"/>
      <c r="G6" s="389"/>
      <c r="H6" s="389"/>
      <c r="I6" s="389"/>
      <c r="J6" s="399"/>
      <c r="L6" s="98" t="s">
        <v>241</v>
      </c>
      <c r="M6" s="97" t="s">
        <v>240</v>
      </c>
      <c r="N6" s="98" t="s">
        <v>259</v>
      </c>
      <c r="O6" s="98" t="s">
        <v>260</v>
      </c>
      <c r="P6" s="98" t="s">
        <v>241</v>
      </c>
      <c r="Q6" s="97" t="s">
        <v>261</v>
      </c>
      <c r="R6" s="98" t="s">
        <v>242</v>
      </c>
      <c r="S6" s="98" t="s">
        <v>259</v>
      </c>
      <c r="T6" s="98" t="s">
        <v>260</v>
      </c>
    </row>
    <row r="7" spans="3:34" x14ac:dyDescent="0.25">
      <c r="C7" s="398"/>
      <c r="D7" s="389"/>
      <c r="E7" s="389"/>
      <c r="F7" s="389"/>
      <c r="G7" s="389"/>
      <c r="H7" s="389"/>
      <c r="I7" s="389"/>
      <c r="J7" s="399"/>
      <c r="L7" s="98">
        <v>120</v>
      </c>
      <c r="M7" s="97">
        <v>1</v>
      </c>
      <c r="N7" s="98">
        <v>26.67</v>
      </c>
      <c r="O7" s="98">
        <f>L7-M7*N7</f>
        <v>93.33</v>
      </c>
      <c r="P7" s="98">
        <v>250</v>
      </c>
      <c r="Q7" s="97" t="s">
        <v>295</v>
      </c>
      <c r="R7" s="98">
        <v>1068</v>
      </c>
      <c r="S7" s="98">
        <v>0.19</v>
      </c>
      <c r="T7" s="98">
        <f>P7-R7*S7</f>
        <v>47.079999999999984</v>
      </c>
    </row>
    <row r="8" spans="3:34" x14ac:dyDescent="0.25">
      <c r="C8" s="398"/>
      <c r="D8" s="389"/>
      <c r="E8" s="389"/>
      <c r="F8" s="389"/>
      <c r="G8" s="389"/>
      <c r="H8" s="389"/>
      <c r="I8" s="389"/>
      <c r="J8" s="399"/>
    </row>
    <row r="9" spans="3:34" ht="15.75" thickBot="1" x14ac:dyDescent="0.3">
      <c r="C9" s="398"/>
      <c r="D9" s="389"/>
      <c r="E9" s="389"/>
      <c r="F9" s="389"/>
      <c r="G9" s="389"/>
      <c r="H9" s="389"/>
      <c r="I9" s="389"/>
      <c r="J9" s="399"/>
    </row>
    <row r="10" spans="3:34" ht="15.75" thickBot="1" x14ac:dyDescent="0.3">
      <c r="C10" s="400"/>
      <c r="D10" s="401"/>
      <c r="E10" s="401"/>
      <c r="F10" s="401"/>
      <c r="G10" s="401"/>
      <c r="H10" s="401"/>
      <c r="I10" s="401"/>
      <c r="J10" s="402"/>
      <c r="L10" s="99" t="s">
        <v>174</v>
      </c>
      <c r="M10" s="100"/>
      <c r="N10" s="100"/>
      <c r="O10" s="100"/>
      <c r="P10" s="100"/>
      <c r="Q10" s="100"/>
      <c r="R10" s="101"/>
    </row>
    <row r="11" spans="3:34" x14ac:dyDescent="0.25">
      <c r="C11" s="1" t="s">
        <v>0</v>
      </c>
      <c r="D11" s="383" t="s">
        <v>321</v>
      </c>
      <c r="E11" s="383"/>
      <c r="F11" s="383"/>
      <c r="G11" s="2" t="s">
        <v>1</v>
      </c>
      <c r="H11" s="383"/>
      <c r="I11" s="383"/>
      <c r="J11" s="384"/>
      <c r="L11" s="102" t="s">
        <v>175</v>
      </c>
      <c r="R11" s="103"/>
    </row>
    <row r="12" spans="3:34" ht="15" customHeight="1" x14ac:dyDescent="0.25">
      <c r="C12" s="3" t="s">
        <v>2</v>
      </c>
      <c r="D12" s="357"/>
      <c r="E12" s="357"/>
      <c r="F12" s="357"/>
      <c r="G12" s="4" t="s">
        <v>3</v>
      </c>
      <c r="H12" s="357"/>
      <c r="I12" s="357"/>
      <c r="J12" s="358"/>
      <c r="L12" s="102" t="s">
        <v>176</v>
      </c>
      <c r="R12" s="103"/>
      <c r="V12" s="96"/>
      <c r="W12" s="96"/>
    </row>
    <row r="13" spans="3:34" x14ac:dyDescent="0.25">
      <c r="C13" s="3" t="s">
        <v>4</v>
      </c>
      <c r="D13" s="357"/>
      <c r="E13" s="357"/>
      <c r="F13" s="357"/>
      <c r="G13" s="4" t="s">
        <v>5</v>
      </c>
      <c r="H13" s="357"/>
      <c r="I13" s="357"/>
      <c r="J13" s="358"/>
      <c r="L13" s="106"/>
      <c r="M13" s="110" t="s">
        <v>177</v>
      </c>
      <c r="R13" s="103"/>
      <c r="V13" s="96"/>
      <c r="W13" s="96"/>
      <c r="Z13" s="96"/>
      <c r="AA13" s="96"/>
      <c r="AB13" s="96"/>
      <c r="AC13" s="96"/>
      <c r="AD13" s="96"/>
      <c r="AE13" s="96"/>
      <c r="AF13" s="96"/>
      <c r="AG13" s="96"/>
      <c r="AH13" s="96"/>
    </row>
    <row r="14" spans="3:34" x14ac:dyDescent="0.25">
      <c r="C14" s="3" t="s">
        <v>6</v>
      </c>
      <c r="D14" s="357"/>
      <c r="E14" s="357"/>
      <c r="F14" s="357"/>
      <c r="G14" s="5" t="s">
        <v>7</v>
      </c>
      <c r="H14" s="357" t="s">
        <v>320</v>
      </c>
      <c r="I14" s="357"/>
      <c r="J14" s="358"/>
      <c r="L14" s="106"/>
      <c r="M14" s="110" t="s">
        <v>178</v>
      </c>
      <c r="R14" s="103"/>
    </row>
    <row r="15" spans="3:34" ht="15.75" thickBot="1" x14ac:dyDescent="0.3">
      <c r="C15" s="113"/>
      <c r="D15" s="115"/>
      <c r="E15" s="115"/>
      <c r="F15" s="115"/>
      <c r="G15" s="6" t="s">
        <v>8</v>
      </c>
      <c r="H15" s="116"/>
      <c r="I15" s="117">
        <v>7</v>
      </c>
      <c r="J15" s="114"/>
      <c r="L15" s="106"/>
      <c r="M15" s="110" t="s">
        <v>179</v>
      </c>
      <c r="R15" s="103"/>
    </row>
    <row r="16" spans="3:34" ht="15.75" thickBot="1" x14ac:dyDescent="0.3">
      <c r="C16" s="7"/>
      <c r="D16" s="8"/>
      <c r="E16" s="7"/>
      <c r="F16" s="8"/>
      <c r="G16" s="7"/>
      <c r="H16" s="8"/>
      <c r="I16" s="7"/>
      <c r="J16" s="8"/>
      <c r="L16" s="107"/>
      <c r="M16" s="111" t="s">
        <v>180</v>
      </c>
      <c r="N16" s="104"/>
      <c r="O16" s="104"/>
      <c r="P16" s="104"/>
      <c r="Q16" s="104"/>
      <c r="R16" s="105"/>
    </row>
    <row r="17" spans="3:10" x14ac:dyDescent="0.25">
      <c r="C17" s="9" t="s">
        <v>9</v>
      </c>
      <c r="D17" s="10"/>
      <c r="E17" s="382" t="s">
        <v>323</v>
      </c>
      <c r="F17" s="382"/>
      <c r="G17" s="382"/>
      <c r="H17" s="382"/>
      <c r="I17" s="11" t="s">
        <v>10</v>
      </c>
      <c r="J17" s="168"/>
    </row>
    <row r="18" spans="3:10" x14ac:dyDescent="0.25">
      <c r="C18" s="12" t="s">
        <v>11</v>
      </c>
      <c r="D18" s="13"/>
      <c r="E18" s="14"/>
      <c r="F18" s="13"/>
      <c r="G18" s="14"/>
      <c r="H18" s="13"/>
      <c r="I18" s="14"/>
      <c r="J18" s="15" t="s">
        <v>12</v>
      </c>
    </row>
    <row r="19" spans="3:10" x14ac:dyDescent="0.25">
      <c r="C19" s="95" t="s">
        <v>13</v>
      </c>
      <c r="D19" s="17"/>
      <c r="E19" s="7"/>
      <c r="F19" s="8"/>
      <c r="G19" s="7"/>
      <c r="H19" s="8"/>
      <c r="I19" s="7"/>
      <c r="J19" s="18"/>
    </row>
    <row r="20" spans="3:10" x14ac:dyDescent="0.25">
      <c r="C20" s="16" t="s">
        <v>14</v>
      </c>
      <c r="D20" s="19"/>
      <c r="E20" s="20"/>
      <c r="F20" s="21"/>
      <c r="G20" s="20"/>
      <c r="H20" s="21"/>
      <c r="I20" s="179">
        <v>960</v>
      </c>
      <c r="J20" s="18"/>
    </row>
    <row r="21" spans="3:10" x14ac:dyDescent="0.25">
      <c r="C21" s="16" t="s">
        <v>15</v>
      </c>
      <c r="D21" s="17"/>
      <c r="E21" s="7"/>
      <c r="F21" s="8"/>
      <c r="G21" s="7"/>
      <c r="H21" s="8"/>
      <c r="I21" s="173"/>
      <c r="J21" s="18"/>
    </row>
    <row r="22" spans="3:10" x14ac:dyDescent="0.25">
      <c r="C22" s="169" t="s">
        <v>322</v>
      </c>
      <c r="D22" s="170"/>
      <c r="E22" s="170"/>
      <c r="F22" s="171"/>
      <c r="G22" s="172"/>
      <c r="H22" s="171"/>
      <c r="I22" s="173">
        <v>30</v>
      </c>
      <c r="J22" s="18"/>
    </row>
    <row r="23" spans="3:10" x14ac:dyDescent="0.25">
      <c r="C23" s="174"/>
      <c r="D23" s="175"/>
      <c r="E23" s="175"/>
      <c r="F23" s="176"/>
      <c r="G23" s="177"/>
      <c r="H23" s="176"/>
      <c r="I23" s="178"/>
      <c r="J23" s="18"/>
    </row>
    <row r="24" spans="3:10" x14ac:dyDescent="0.25">
      <c r="C24" s="169"/>
      <c r="D24" s="23"/>
      <c r="E24" s="23"/>
      <c r="F24" s="24"/>
      <c r="G24" s="25"/>
      <c r="H24" s="24"/>
      <c r="I24" s="173"/>
      <c r="J24" s="18"/>
    </row>
    <row r="25" spans="3:10" x14ac:dyDescent="0.25">
      <c r="C25" s="16" t="s">
        <v>16</v>
      </c>
      <c r="D25" s="17"/>
      <c r="E25" s="26"/>
      <c r="F25" s="24"/>
      <c r="G25" s="25"/>
      <c r="H25" s="24"/>
      <c r="I25" s="178">
        <f>25*4</f>
        <v>100</v>
      </c>
      <c r="J25" s="18"/>
    </row>
    <row r="26" spans="3:10" x14ac:dyDescent="0.25">
      <c r="C26" s="16" t="s">
        <v>17</v>
      </c>
      <c r="D26" s="17"/>
      <c r="E26" s="25"/>
      <c r="F26" s="24"/>
      <c r="G26" s="25"/>
      <c r="H26" s="24"/>
      <c r="I26" s="178"/>
      <c r="J26" s="18"/>
    </row>
    <row r="27" spans="3:10" x14ac:dyDescent="0.25">
      <c r="C27" s="16" t="s">
        <v>18</v>
      </c>
      <c r="D27" s="17"/>
      <c r="E27" s="7"/>
      <c r="F27" s="24"/>
      <c r="G27" s="25"/>
      <c r="H27" s="24"/>
      <c r="I27" s="178"/>
      <c r="J27" s="18"/>
    </row>
    <row r="28" spans="3:10" x14ac:dyDescent="0.25">
      <c r="C28" s="16" t="s">
        <v>19</v>
      </c>
      <c r="D28" s="17"/>
      <c r="E28" s="20"/>
      <c r="F28" s="24"/>
      <c r="G28" s="25"/>
      <c r="H28" s="24"/>
      <c r="I28" s="178"/>
      <c r="J28" s="18"/>
    </row>
    <row r="29" spans="3:10" x14ac:dyDescent="0.25">
      <c r="C29" s="95" t="s">
        <v>20</v>
      </c>
      <c r="D29" s="17"/>
      <c r="E29" s="7"/>
      <c r="F29" s="8"/>
      <c r="G29" s="7"/>
      <c r="H29" s="8"/>
      <c r="I29" s="173"/>
      <c r="J29" s="18"/>
    </row>
    <row r="30" spans="3:10" x14ac:dyDescent="0.25">
      <c r="C30" s="16" t="s">
        <v>21</v>
      </c>
      <c r="D30" s="17"/>
      <c r="E30" s="7"/>
      <c r="F30" s="8"/>
      <c r="G30" s="7"/>
      <c r="H30" s="8"/>
      <c r="I30" s="173"/>
      <c r="J30" s="18"/>
    </row>
    <row r="31" spans="3:10" x14ac:dyDescent="0.25">
      <c r="C31" s="169" t="s">
        <v>282</v>
      </c>
      <c r="D31" s="23"/>
      <c r="E31" s="23"/>
      <c r="F31" s="21"/>
      <c r="G31" s="20"/>
      <c r="H31" s="21"/>
      <c r="I31" s="179">
        <v>120</v>
      </c>
      <c r="J31" s="18"/>
    </row>
    <row r="32" spans="3:10" x14ac:dyDescent="0.25">
      <c r="C32" s="169" t="s">
        <v>290</v>
      </c>
      <c r="D32" s="23"/>
      <c r="E32" s="23"/>
      <c r="F32" s="21"/>
      <c r="G32" s="20"/>
      <c r="H32" s="21"/>
      <c r="I32" s="179">
        <v>250</v>
      </c>
      <c r="J32" s="18"/>
    </row>
    <row r="33" spans="3:10" x14ac:dyDescent="0.25">
      <c r="C33" s="16" t="s">
        <v>22</v>
      </c>
      <c r="D33" s="17"/>
      <c r="E33" s="7"/>
      <c r="F33" s="8"/>
      <c r="G33" s="7"/>
      <c r="H33" s="8"/>
      <c r="I33" s="189"/>
      <c r="J33" s="18"/>
    </row>
    <row r="34" spans="3:10" x14ac:dyDescent="0.25">
      <c r="C34" s="169"/>
      <c r="D34" s="23"/>
      <c r="E34" s="23"/>
      <c r="F34" s="21"/>
      <c r="G34" s="20"/>
      <c r="H34" s="21"/>
      <c r="I34" s="179"/>
      <c r="J34" s="18"/>
    </row>
    <row r="35" spans="3:10" x14ac:dyDescent="0.25">
      <c r="C35" s="16" t="s">
        <v>23</v>
      </c>
      <c r="D35" s="17"/>
      <c r="E35" s="7"/>
      <c r="F35" s="8"/>
      <c r="G35" s="7"/>
      <c r="H35" s="8"/>
      <c r="I35" s="173"/>
      <c r="J35" s="18"/>
    </row>
    <row r="36" spans="3:10" x14ac:dyDescent="0.25">
      <c r="C36" s="169"/>
      <c r="D36" s="23"/>
      <c r="E36" s="27"/>
      <c r="F36" s="21"/>
      <c r="G36" s="20"/>
      <c r="H36" s="21"/>
      <c r="I36" s="179"/>
      <c r="J36" s="18"/>
    </row>
    <row r="37" spans="3:10" x14ac:dyDescent="0.25">
      <c r="C37" s="16" t="s">
        <v>24</v>
      </c>
      <c r="D37" s="17"/>
      <c r="E37" s="7"/>
      <c r="F37" s="8"/>
      <c r="G37" s="7"/>
      <c r="H37" s="8"/>
      <c r="I37" s="189"/>
      <c r="J37" s="18"/>
    </row>
    <row r="38" spans="3:10" x14ac:dyDescent="0.25">
      <c r="C38" s="169"/>
      <c r="D38" s="23"/>
      <c r="E38" s="23"/>
      <c r="F38" s="21"/>
      <c r="G38" s="20"/>
      <c r="H38" s="21"/>
      <c r="I38" s="179"/>
      <c r="J38" s="18"/>
    </row>
    <row r="39" spans="3:10" x14ac:dyDescent="0.25">
      <c r="C39" s="169"/>
      <c r="D39" s="23"/>
      <c r="E39" s="23"/>
      <c r="F39" s="21"/>
      <c r="G39" s="20"/>
      <c r="H39" s="21"/>
      <c r="I39" s="179"/>
      <c r="J39" s="18"/>
    </row>
    <row r="40" spans="3:10" ht="15.75" thickBot="1" x14ac:dyDescent="0.3">
      <c r="C40" s="12"/>
      <c r="D40" s="13"/>
      <c r="E40" s="14" t="s">
        <v>25</v>
      </c>
      <c r="F40" s="13"/>
      <c r="G40" s="28"/>
      <c r="H40" s="29"/>
      <c r="I40" s="28"/>
      <c r="J40" s="30">
        <f>SUM(I20:I39)</f>
        <v>1460</v>
      </c>
    </row>
    <row r="41" spans="3:10" x14ac:dyDescent="0.25">
      <c r="C41" s="31"/>
      <c r="D41" s="8"/>
      <c r="E41" s="7"/>
      <c r="F41" s="8"/>
      <c r="G41" s="7"/>
      <c r="H41" s="8"/>
      <c r="I41" s="7"/>
      <c r="J41" s="18"/>
    </row>
    <row r="42" spans="3:10" x14ac:dyDescent="0.25">
      <c r="C42" s="12" t="s">
        <v>26</v>
      </c>
      <c r="D42" s="13"/>
      <c r="E42" s="14"/>
      <c r="F42" s="13"/>
      <c r="G42" s="14"/>
      <c r="H42" s="13"/>
      <c r="I42" s="14"/>
      <c r="J42" s="32"/>
    </row>
    <row r="43" spans="3:10" x14ac:dyDescent="0.25">
      <c r="C43" s="12" t="s">
        <v>27</v>
      </c>
      <c r="D43" s="13"/>
      <c r="E43" s="14"/>
      <c r="F43" s="13"/>
      <c r="G43" s="14"/>
      <c r="H43" s="13"/>
      <c r="I43" s="14"/>
      <c r="J43" s="32"/>
    </row>
    <row r="44" spans="3:10" x14ac:dyDescent="0.25">
      <c r="C44" s="31"/>
      <c r="D44" s="8"/>
      <c r="E44" s="7"/>
      <c r="F44" s="8"/>
      <c r="G44" s="33" t="s">
        <v>28</v>
      </c>
      <c r="H44" s="8"/>
      <c r="I44" s="7"/>
      <c r="J44" s="18"/>
    </row>
    <row r="45" spans="3:10" x14ac:dyDescent="0.25">
      <c r="C45" s="16" t="s">
        <v>29</v>
      </c>
      <c r="D45" s="8"/>
      <c r="E45" s="179">
        <f>I20+I22+O4+O7+T7</f>
        <v>1295.4099999999999</v>
      </c>
      <c r="F45" s="34"/>
      <c r="G45" s="180">
        <v>4.7E-2</v>
      </c>
      <c r="H45" s="19"/>
      <c r="I45" s="179">
        <f>E45*G45</f>
        <v>60.884269999999994</v>
      </c>
      <c r="J45" s="18"/>
    </row>
    <row r="46" spans="3:10" x14ac:dyDescent="0.25">
      <c r="C46" s="16" t="s">
        <v>30</v>
      </c>
      <c r="D46" s="21"/>
      <c r="E46" s="179">
        <f>E45+F48</f>
        <v>1395.4099999999999</v>
      </c>
      <c r="F46" s="35"/>
      <c r="G46" s="180">
        <v>1.55E-2</v>
      </c>
      <c r="H46" s="36"/>
      <c r="I46" s="179">
        <f t="shared" ref="I46:I47" si="0">E46*G46</f>
        <v>21.628854999999998</v>
      </c>
      <c r="J46" s="18"/>
    </row>
    <row r="47" spans="3:10" x14ac:dyDescent="0.25">
      <c r="C47" s="16" t="s">
        <v>31</v>
      </c>
      <c r="D47" s="8"/>
      <c r="E47" s="179">
        <f>E46+F49</f>
        <v>1395.4099999999999</v>
      </c>
      <c r="F47" s="35"/>
      <c r="G47" s="180">
        <v>1E-3</v>
      </c>
      <c r="H47" s="36"/>
      <c r="I47" s="179">
        <f t="shared" si="0"/>
        <v>1.3954099999999998</v>
      </c>
      <c r="J47" s="18"/>
    </row>
    <row r="48" spans="3:10" x14ac:dyDescent="0.25">
      <c r="C48" s="16" t="s">
        <v>32</v>
      </c>
      <c r="D48" s="8"/>
      <c r="E48" s="17"/>
      <c r="F48" s="179">
        <v>100</v>
      </c>
      <c r="G48" s="180">
        <v>4.7E-2</v>
      </c>
      <c r="H48" s="36"/>
      <c r="I48" s="179">
        <f>F48*G48</f>
        <v>4.7</v>
      </c>
      <c r="J48" s="18"/>
    </row>
    <row r="49" spans="3:10" x14ac:dyDescent="0.25">
      <c r="C49" s="16" t="s">
        <v>33</v>
      </c>
      <c r="D49" s="8"/>
      <c r="E49" s="17"/>
      <c r="F49" s="179"/>
      <c r="G49" s="180"/>
      <c r="H49" s="36"/>
      <c r="I49" s="179"/>
      <c r="J49" s="18"/>
    </row>
    <row r="50" spans="3:10" x14ac:dyDescent="0.25">
      <c r="C50" s="12" t="s">
        <v>34</v>
      </c>
      <c r="D50" s="13"/>
      <c r="E50" s="37"/>
      <c r="F50" s="37"/>
      <c r="G50" s="194"/>
      <c r="H50" s="37"/>
      <c r="I50" s="38">
        <f>SUM(I45:I49)</f>
        <v>88.608534999999989</v>
      </c>
      <c r="J50" s="32"/>
    </row>
    <row r="51" spans="3:10" x14ac:dyDescent="0.25">
      <c r="C51" s="31"/>
      <c r="D51" s="8"/>
      <c r="E51" s="17"/>
      <c r="F51" s="17"/>
      <c r="G51" s="17"/>
      <c r="H51" s="17"/>
      <c r="I51" s="22"/>
      <c r="J51" s="18"/>
    </row>
    <row r="52" spans="3:10" x14ac:dyDescent="0.25">
      <c r="C52" s="16" t="s">
        <v>35</v>
      </c>
      <c r="D52" s="181">
        <f>J40-I31-I32+O7+T7</f>
        <v>1230.4099999999999</v>
      </c>
      <c r="E52" s="19"/>
      <c r="F52" s="19"/>
      <c r="G52" s="182">
        <v>0.14000000000000001</v>
      </c>
      <c r="H52" s="19"/>
      <c r="I52" s="179">
        <f>D52*G52</f>
        <v>172.25739999999999</v>
      </c>
      <c r="J52" s="18"/>
    </row>
    <row r="53" spans="3:10" x14ac:dyDescent="0.25">
      <c r="C53" s="16" t="s">
        <v>36</v>
      </c>
      <c r="D53" s="21"/>
      <c r="E53" s="19"/>
      <c r="F53" s="19"/>
      <c r="G53" s="190"/>
      <c r="H53" s="188"/>
      <c r="I53" s="178"/>
      <c r="J53" s="18"/>
    </row>
    <row r="54" spans="3:10" x14ac:dyDescent="0.25">
      <c r="C54" s="16" t="s">
        <v>37</v>
      </c>
      <c r="D54" s="8"/>
      <c r="E54" s="7"/>
      <c r="F54" s="8"/>
      <c r="G54" s="177"/>
      <c r="H54" s="176"/>
      <c r="I54" s="178"/>
      <c r="J54" s="18"/>
    </row>
    <row r="55" spans="3:10" x14ac:dyDescent="0.25">
      <c r="C55" s="16" t="s">
        <v>38</v>
      </c>
      <c r="D55" s="8"/>
      <c r="E55" s="20"/>
      <c r="F55" s="21"/>
      <c r="G55" s="172"/>
      <c r="H55" s="171"/>
      <c r="I55" s="178"/>
      <c r="J55" s="18"/>
    </row>
    <row r="56" spans="3:10" x14ac:dyDescent="0.25">
      <c r="C56" s="31"/>
      <c r="D56" s="8"/>
      <c r="E56" s="7"/>
      <c r="F56" s="8"/>
      <c r="G56" s="7"/>
      <c r="H56" s="8"/>
      <c r="I56" s="39"/>
      <c r="J56" s="18"/>
    </row>
    <row r="57" spans="3:10" x14ac:dyDescent="0.25">
      <c r="C57" s="12"/>
      <c r="D57" s="13"/>
      <c r="E57" s="14" t="s">
        <v>39</v>
      </c>
      <c r="F57" s="13"/>
      <c r="G57" s="28"/>
      <c r="H57" s="29"/>
      <c r="I57" s="40">
        <f>I50+I52+I53+I54+I55</f>
        <v>260.86593499999998</v>
      </c>
      <c r="J57" s="32"/>
    </row>
    <row r="58" spans="3:10" ht="15.75" thickBot="1" x14ac:dyDescent="0.3">
      <c r="C58" s="12"/>
      <c r="D58" s="13"/>
      <c r="E58" s="14" t="s">
        <v>40</v>
      </c>
      <c r="F58" s="13"/>
      <c r="G58" s="14"/>
      <c r="H58" s="29"/>
      <c r="I58" s="28"/>
      <c r="J58" s="41">
        <f>J40-I57</f>
        <v>1199.134065</v>
      </c>
    </row>
    <row r="59" spans="3:10" x14ac:dyDescent="0.25">
      <c r="C59" s="31"/>
      <c r="D59" s="8"/>
      <c r="E59" s="17" t="s">
        <v>41</v>
      </c>
      <c r="F59" s="8"/>
      <c r="G59" s="7"/>
      <c r="H59" s="17" t="s">
        <v>42</v>
      </c>
      <c r="I59" s="7"/>
      <c r="J59" s="42" t="s">
        <v>43</v>
      </c>
    </row>
    <row r="60" spans="3:10" x14ac:dyDescent="0.25">
      <c r="C60" s="31"/>
      <c r="D60" s="8"/>
      <c r="E60" s="7"/>
      <c r="F60" s="8"/>
      <c r="G60" s="7"/>
      <c r="H60" s="8"/>
      <c r="I60" s="7"/>
      <c r="J60" s="18"/>
    </row>
    <row r="61" spans="3:10" ht="15.75" thickBot="1" x14ac:dyDescent="0.3">
      <c r="C61" s="43"/>
      <c r="D61" s="44"/>
      <c r="E61" s="45"/>
      <c r="F61" s="44"/>
      <c r="G61" s="45"/>
      <c r="H61" s="44"/>
      <c r="I61" s="45"/>
      <c r="J61" s="46"/>
    </row>
    <row r="62" spans="3:10" ht="15.75" thickBot="1" x14ac:dyDescent="0.3">
      <c r="C62" s="7"/>
      <c r="D62" s="8"/>
      <c r="E62" s="7"/>
      <c r="F62" s="8"/>
      <c r="G62" s="7"/>
      <c r="H62" s="8"/>
      <c r="I62" s="7"/>
      <c r="J62" s="8"/>
    </row>
    <row r="63" spans="3:10" ht="15" customHeight="1" x14ac:dyDescent="0.25">
      <c r="C63" s="372" t="s">
        <v>44</v>
      </c>
      <c r="D63" s="373"/>
      <c r="E63" s="373"/>
      <c r="F63" s="373"/>
      <c r="G63" s="373"/>
      <c r="H63" s="373"/>
      <c r="I63" s="373"/>
      <c r="J63" s="374"/>
    </row>
    <row r="64" spans="3:10" ht="15.75" thickBot="1" x14ac:dyDescent="0.3">
      <c r="C64" s="379" t="s">
        <v>45</v>
      </c>
      <c r="D64" s="380"/>
      <c r="E64" s="380"/>
      <c r="F64" s="380"/>
      <c r="G64" s="380"/>
      <c r="H64" s="380"/>
      <c r="I64" s="380"/>
      <c r="J64" s="381"/>
    </row>
    <row r="65" spans="3:10" x14ac:dyDescent="0.25">
      <c r="C65" s="16" t="s">
        <v>46</v>
      </c>
      <c r="D65" s="17"/>
      <c r="E65" s="17"/>
      <c r="F65" s="8"/>
      <c r="G65" s="7"/>
      <c r="H65" s="8"/>
      <c r="I65" s="7"/>
      <c r="J65" s="18"/>
    </row>
    <row r="66" spans="3:10" x14ac:dyDescent="0.25">
      <c r="C66" s="16" t="s">
        <v>47</v>
      </c>
      <c r="D66" s="17"/>
      <c r="E66" s="19"/>
      <c r="F66" s="183">
        <f>F68-F67</f>
        <v>1130.4099999999999</v>
      </c>
      <c r="G66" s="47"/>
      <c r="H66" s="47"/>
      <c r="I66" s="7"/>
      <c r="J66" s="18"/>
    </row>
    <row r="67" spans="3:10" x14ac:dyDescent="0.25">
      <c r="C67" s="16" t="s">
        <v>48</v>
      </c>
      <c r="D67" s="17"/>
      <c r="E67" s="24"/>
      <c r="F67" s="184">
        <f>O4</f>
        <v>165</v>
      </c>
      <c r="G67" s="47"/>
      <c r="H67" s="48" t="s">
        <v>28</v>
      </c>
      <c r="I67" s="375" t="s">
        <v>49</v>
      </c>
      <c r="J67" s="376"/>
    </row>
    <row r="68" spans="3:10" x14ac:dyDescent="0.25">
      <c r="C68" s="16"/>
      <c r="D68" s="17"/>
      <c r="E68" s="49" t="s">
        <v>50</v>
      </c>
      <c r="F68" s="184">
        <f>E45</f>
        <v>1295.4099999999999</v>
      </c>
      <c r="G68" s="47"/>
      <c r="H68" s="187">
        <v>0.23599999999999999</v>
      </c>
      <c r="I68" s="50"/>
      <c r="J68" s="195">
        <f>F68*H68</f>
        <v>305.71675999999997</v>
      </c>
    </row>
    <row r="69" spans="3:10" x14ac:dyDescent="0.25">
      <c r="C69" s="16"/>
      <c r="D69" s="17"/>
      <c r="E69" s="17"/>
      <c r="F69" s="47"/>
      <c r="G69" s="48" t="s">
        <v>51</v>
      </c>
      <c r="H69" s="193"/>
      <c r="I69" s="17"/>
      <c r="J69" s="196"/>
    </row>
    <row r="70" spans="3:10" ht="15" customHeight="1" x14ac:dyDescent="0.25">
      <c r="C70" s="377" t="s">
        <v>52</v>
      </c>
      <c r="D70" s="378"/>
      <c r="E70" s="378"/>
      <c r="F70" s="47" t="s">
        <v>53</v>
      </c>
      <c r="G70" s="183">
        <f>E47</f>
        <v>1395.4099999999999</v>
      </c>
      <c r="H70" s="185">
        <v>1.4999999999999999E-2</v>
      </c>
      <c r="I70" s="47"/>
      <c r="J70" s="195">
        <f>G70*H70</f>
        <v>20.931149999999999</v>
      </c>
    </row>
    <row r="71" spans="3:10" x14ac:dyDescent="0.25">
      <c r="C71" s="377"/>
      <c r="D71" s="378"/>
      <c r="E71" s="378"/>
      <c r="F71" s="47" t="s">
        <v>30</v>
      </c>
      <c r="G71" s="183">
        <f>E46</f>
        <v>1395.4099999999999</v>
      </c>
      <c r="H71" s="186">
        <v>5.5E-2</v>
      </c>
      <c r="I71" s="51"/>
      <c r="J71" s="195">
        <f t="shared" ref="J71:J74" si="1">G71*H71</f>
        <v>76.74754999999999</v>
      </c>
    </row>
    <row r="72" spans="3:10" x14ac:dyDescent="0.25">
      <c r="C72" s="377"/>
      <c r="D72" s="378"/>
      <c r="E72" s="378"/>
      <c r="F72" s="8" t="s">
        <v>54</v>
      </c>
      <c r="G72" s="183">
        <f t="shared" ref="G72" si="2">E47</f>
        <v>1395.4099999999999</v>
      </c>
      <c r="H72" s="186">
        <v>6.0000000000000001E-3</v>
      </c>
      <c r="I72" s="51"/>
      <c r="J72" s="195">
        <f t="shared" si="1"/>
        <v>8.3724599999999985</v>
      </c>
    </row>
    <row r="73" spans="3:10" x14ac:dyDescent="0.25">
      <c r="C73" s="192"/>
      <c r="D73" s="191"/>
      <c r="E73" s="191"/>
      <c r="F73" s="8" t="s">
        <v>55</v>
      </c>
      <c r="G73" s="183">
        <f>E47</f>
        <v>1395.4099999999999</v>
      </c>
      <c r="H73" s="186">
        <v>2E-3</v>
      </c>
      <c r="I73" s="51"/>
      <c r="J73" s="195">
        <f t="shared" si="1"/>
        <v>2.7908199999999996</v>
      </c>
    </row>
    <row r="74" spans="3:10" x14ac:dyDescent="0.25">
      <c r="C74" s="16" t="s">
        <v>56</v>
      </c>
      <c r="D74" s="17"/>
      <c r="E74" s="17"/>
      <c r="F74" s="8"/>
      <c r="G74" s="183">
        <v>100</v>
      </c>
      <c r="H74" s="186">
        <v>0.23599999999999999</v>
      </c>
      <c r="I74" s="51"/>
      <c r="J74" s="195">
        <f t="shared" si="1"/>
        <v>23.599999999999998</v>
      </c>
    </row>
    <row r="75" spans="3:10" x14ac:dyDescent="0.25">
      <c r="C75" s="16" t="s">
        <v>57</v>
      </c>
      <c r="D75" s="17"/>
      <c r="E75" s="17"/>
      <c r="F75" s="8"/>
      <c r="G75" s="184"/>
      <c r="H75" s="187"/>
      <c r="I75" s="52"/>
      <c r="J75" s="195"/>
    </row>
    <row r="76" spans="3:10" ht="15.75" thickBot="1" x14ac:dyDescent="0.3">
      <c r="C76" s="16" t="s">
        <v>58</v>
      </c>
      <c r="D76" s="17"/>
      <c r="E76" s="17"/>
      <c r="F76" s="8"/>
      <c r="G76" s="184"/>
      <c r="H76" s="8"/>
      <c r="I76" s="53" t="s">
        <v>59</v>
      </c>
      <c r="J76" s="54">
        <f>SUM(J68:J75)</f>
        <v>438.15873999999997</v>
      </c>
    </row>
    <row r="77" spans="3:10" ht="15.75" thickBot="1" x14ac:dyDescent="0.3">
      <c r="C77" s="55"/>
      <c r="D77" s="56"/>
      <c r="E77" s="57"/>
      <c r="F77" s="56"/>
      <c r="G77" s="57"/>
      <c r="H77" s="56"/>
      <c r="I77" s="57"/>
      <c r="J77" s="58"/>
    </row>
    <row r="80" spans="3:10" x14ac:dyDescent="0.25">
      <c r="G80" s="108"/>
      <c r="H80" s="108"/>
    </row>
  </sheetData>
  <mergeCells count="22">
    <mergeCell ref="C2:J10"/>
    <mergeCell ref="I67:J67"/>
    <mergeCell ref="C70:E72"/>
    <mergeCell ref="L5:O5"/>
    <mergeCell ref="P5:S5"/>
    <mergeCell ref="D14:F14"/>
    <mergeCell ref="H14:J14"/>
    <mergeCell ref="E17:H17"/>
    <mergeCell ref="P2:S2"/>
    <mergeCell ref="L2:O2"/>
    <mergeCell ref="P3:Q3"/>
    <mergeCell ref="P4:Q4"/>
    <mergeCell ref="R3:S3"/>
    <mergeCell ref="R4:S4"/>
    <mergeCell ref="C64:J64"/>
    <mergeCell ref="C63:J63"/>
    <mergeCell ref="D11:F11"/>
    <mergeCell ref="H11:J11"/>
    <mergeCell ref="D12:F12"/>
    <mergeCell ref="H12:J12"/>
    <mergeCell ref="D13:F13"/>
    <mergeCell ref="H13:J1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AG80"/>
  <sheetViews>
    <sheetView topLeftCell="A66" zoomScale="120" zoomScaleNormal="120" workbookViewId="0">
      <selection activeCell="D45" sqref="D45"/>
    </sheetView>
  </sheetViews>
  <sheetFormatPr baseColWidth="10" defaultRowHeight="15" x14ac:dyDescent="0.25"/>
  <cols>
    <col min="1" max="1" width="1.140625" customWidth="1"/>
    <col min="2" max="2" width="11.5703125" style="59" customWidth="1"/>
    <col min="3" max="3" width="10" style="60" customWidth="1"/>
    <col min="4" max="4" width="11.42578125" style="59" customWidth="1"/>
    <col min="5" max="5" width="11.42578125" style="60" customWidth="1"/>
    <col min="6" max="6" width="13.7109375" style="59" customWidth="1"/>
    <col min="7" max="7" width="11.42578125" style="60" customWidth="1"/>
    <col min="8" max="8" width="12" style="59" bestFit="1" customWidth="1"/>
    <col min="9" max="9" width="12" style="60" customWidth="1"/>
    <col min="11" max="11" width="22.85546875" customWidth="1"/>
    <col min="13" max="13" width="13.28515625" customWidth="1"/>
    <col min="14" max="14" width="13.7109375" customWidth="1"/>
  </cols>
  <sheetData>
    <row r="2" spans="2:33" ht="15" customHeight="1" x14ac:dyDescent="0.25">
      <c r="B2" s="395" t="s">
        <v>256</v>
      </c>
      <c r="C2" s="396"/>
      <c r="D2" s="396"/>
      <c r="E2" s="396"/>
      <c r="F2" s="396"/>
      <c r="G2" s="396"/>
      <c r="H2" s="396"/>
      <c r="I2" s="397"/>
      <c r="K2" s="368" t="s">
        <v>169</v>
      </c>
      <c r="L2" s="369"/>
      <c r="M2" s="369"/>
      <c r="N2" s="370"/>
      <c r="O2" s="368" t="s">
        <v>236</v>
      </c>
      <c r="P2" s="369"/>
      <c r="Q2" s="369"/>
      <c r="R2" s="370"/>
    </row>
    <row r="3" spans="2:33" x14ac:dyDescent="0.25">
      <c r="B3" s="398"/>
      <c r="C3" s="389"/>
      <c r="D3" s="389"/>
      <c r="E3" s="389"/>
      <c r="F3" s="389"/>
      <c r="G3" s="389"/>
      <c r="H3" s="389"/>
      <c r="I3" s="399"/>
      <c r="K3" s="97" t="s">
        <v>170</v>
      </c>
      <c r="L3" s="97" t="s">
        <v>171</v>
      </c>
      <c r="M3" s="97" t="s">
        <v>172</v>
      </c>
      <c r="N3" s="97" t="s">
        <v>173</v>
      </c>
      <c r="O3" s="97" t="s">
        <v>170</v>
      </c>
      <c r="P3" s="97"/>
      <c r="Q3" s="97"/>
      <c r="R3" s="97" t="s">
        <v>238</v>
      </c>
    </row>
    <row r="4" spans="2:33" x14ac:dyDescent="0.25">
      <c r="B4" s="398"/>
      <c r="C4" s="389"/>
      <c r="D4" s="389"/>
      <c r="E4" s="389"/>
      <c r="F4" s="389"/>
      <c r="G4" s="389"/>
      <c r="H4" s="389"/>
      <c r="I4" s="399"/>
      <c r="K4" s="98">
        <f>1000+50</f>
        <v>1050</v>
      </c>
      <c r="L4" s="97">
        <v>2</v>
      </c>
      <c r="M4" s="98">
        <f>K4*L4</f>
        <v>2100</v>
      </c>
      <c r="N4" s="98">
        <f>M4/12</f>
        <v>175</v>
      </c>
      <c r="O4" s="98"/>
      <c r="P4" s="97"/>
      <c r="Q4" s="98"/>
      <c r="R4" s="98"/>
    </row>
    <row r="5" spans="2:33" x14ac:dyDescent="0.25">
      <c r="B5" s="398"/>
      <c r="C5" s="389"/>
      <c r="D5" s="389"/>
      <c r="E5" s="389"/>
      <c r="F5" s="389"/>
      <c r="G5" s="389"/>
      <c r="H5" s="389"/>
      <c r="I5" s="399"/>
      <c r="K5" s="371" t="s">
        <v>181</v>
      </c>
      <c r="L5" s="371"/>
      <c r="M5" s="371"/>
      <c r="N5" s="371"/>
      <c r="O5" s="371" t="s">
        <v>182</v>
      </c>
      <c r="P5" s="371"/>
      <c r="Q5" s="371"/>
      <c r="R5" s="371"/>
    </row>
    <row r="6" spans="2:33" x14ac:dyDescent="0.25">
      <c r="B6" s="398"/>
      <c r="C6" s="389"/>
      <c r="D6" s="389"/>
      <c r="E6" s="389"/>
      <c r="F6" s="389"/>
      <c r="G6" s="389"/>
      <c r="H6" s="389"/>
      <c r="I6" s="399"/>
      <c r="K6" s="98" t="s">
        <v>241</v>
      </c>
      <c r="L6" s="97" t="s">
        <v>240</v>
      </c>
      <c r="M6" s="98" t="s">
        <v>259</v>
      </c>
      <c r="N6" s="98" t="s">
        <v>260</v>
      </c>
      <c r="O6" s="98" t="s">
        <v>241</v>
      </c>
      <c r="P6" s="97" t="s">
        <v>261</v>
      </c>
      <c r="Q6" s="98" t="s">
        <v>242</v>
      </c>
      <c r="R6" s="98" t="s">
        <v>259</v>
      </c>
      <c r="S6" s="98" t="s">
        <v>260</v>
      </c>
    </row>
    <row r="7" spans="2:33" x14ac:dyDescent="0.25">
      <c r="B7" s="398"/>
      <c r="C7" s="389"/>
      <c r="D7" s="389"/>
      <c r="E7" s="389"/>
      <c r="F7" s="389"/>
      <c r="G7" s="389"/>
      <c r="H7" s="389"/>
      <c r="I7" s="399"/>
      <c r="K7" s="98"/>
      <c r="L7" s="97"/>
      <c r="M7" s="98"/>
      <c r="N7" s="98">
        <f>K7-L7*M7</f>
        <v>0</v>
      </c>
      <c r="O7" s="98"/>
      <c r="P7" s="97"/>
      <c r="Q7" s="98"/>
      <c r="R7" s="98">
        <v>0.19</v>
      </c>
      <c r="S7" s="98">
        <f>O7-P7-(Q7*R7)</f>
        <v>0</v>
      </c>
    </row>
    <row r="8" spans="2:33" x14ac:dyDescent="0.25">
      <c r="B8" s="398"/>
      <c r="C8" s="389"/>
      <c r="D8" s="389"/>
      <c r="E8" s="389"/>
      <c r="F8" s="389"/>
      <c r="G8" s="389"/>
      <c r="H8" s="389"/>
      <c r="I8" s="399"/>
    </row>
    <row r="9" spans="2:33" x14ac:dyDescent="0.25">
      <c r="B9" s="398"/>
      <c r="C9" s="389"/>
      <c r="D9" s="389"/>
      <c r="E9" s="389"/>
      <c r="F9" s="389"/>
      <c r="G9" s="389"/>
      <c r="H9" s="389"/>
      <c r="I9" s="399"/>
    </row>
    <row r="10" spans="2:33" ht="15.75" thickBot="1" x14ac:dyDescent="0.3">
      <c r="B10" s="405"/>
      <c r="C10" s="392"/>
      <c r="D10" s="392"/>
      <c r="E10" s="392"/>
      <c r="F10" s="392"/>
      <c r="G10" s="392"/>
      <c r="H10" s="392"/>
      <c r="I10" s="406"/>
      <c r="K10" s="198" t="s">
        <v>244</v>
      </c>
      <c r="L10" s="199"/>
      <c r="M10" s="199"/>
      <c r="N10" s="199"/>
      <c r="O10" s="199"/>
      <c r="P10" s="199"/>
      <c r="Q10" s="200"/>
    </row>
    <row r="11" spans="2:33" x14ac:dyDescent="0.25">
      <c r="B11" s="1" t="s">
        <v>0</v>
      </c>
      <c r="C11" s="383" t="s">
        <v>325</v>
      </c>
      <c r="D11" s="383"/>
      <c r="E11" s="383"/>
      <c r="F11" s="2" t="s">
        <v>1</v>
      </c>
      <c r="G11" s="383" t="s">
        <v>281</v>
      </c>
      <c r="H11" s="383"/>
      <c r="I11" s="384"/>
      <c r="K11" s="201" t="s">
        <v>245</v>
      </c>
      <c r="Q11" s="202"/>
    </row>
    <row r="12" spans="2:33" ht="15" customHeight="1" x14ac:dyDescent="0.25">
      <c r="B12" s="3" t="s">
        <v>2</v>
      </c>
      <c r="C12" s="357"/>
      <c r="D12" s="357"/>
      <c r="E12" s="357"/>
      <c r="F12" s="4" t="s">
        <v>3</v>
      </c>
      <c r="G12" s="357"/>
      <c r="H12" s="357"/>
      <c r="I12" s="358"/>
      <c r="K12" s="203"/>
      <c r="L12" s="110" t="s">
        <v>177</v>
      </c>
      <c r="Q12" s="202"/>
    </row>
    <row r="13" spans="2:33" x14ac:dyDescent="0.25">
      <c r="B13" s="3" t="s">
        <v>4</v>
      </c>
      <c r="C13" s="357"/>
      <c r="D13" s="357"/>
      <c r="E13" s="357"/>
      <c r="F13" s="4" t="s">
        <v>5</v>
      </c>
      <c r="G13" s="357"/>
      <c r="H13" s="357"/>
      <c r="I13" s="358"/>
      <c r="K13" s="203"/>
      <c r="L13" s="110" t="s">
        <v>178</v>
      </c>
      <c r="Q13" s="202"/>
      <c r="Y13" s="96"/>
      <c r="Z13" s="96"/>
      <c r="AA13" s="96"/>
      <c r="AB13" s="96"/>
      <c r="AC13" s="96"/>
      <c r="AD13" s="96"/>
      <c r="AE13" s="96"/>
      <c r="AF13" s="96"/>
      <c r="AG13" s="96"/>
    </row>
    <row r="14" spans="2:33" x14ac:dyDescent="0.25">
      <c r="B14" s="3" t="s">
        <v>6</v>
      </c>
      <c r="C14" s="357"/>
      <c r="D14" s="357"/>
      <c r="E14" s="357"/>
      <c r="F14" s="5" t="s">
        <v>7</v>
      </c>
      <c r="G14" s="357" t="s">
        <v>324</v>
      </c>
      <c r="H14" s="357"/>
      <c r="I14" s="358"/>
      <c r="K14" s="203"/>
      <c r="L14" s="110" t="s">
        <v>179</v>
      </c>
      <c r="Q14" s="202"/>
    </row>
    <row r="15" spans="2:33" ht="15.75" thickBot="1" x14ac:dyDescent="0.3">
      <c r="B15" s="113"/>
      <c r="C15" s="115"/>
      <c r="D15" s="115"/>
      <c r="E15" s="115"/>
      <c r="F15" s="6" t="s">
        <v>8</v>
      </c>
      <c r="G15" s="116"/>
      <c r="H15" s="117">
        <v>4</v>
      </c>
      <c r="I15" s="114"/>
      <c r="K15" s="204"/>
      <c r="L15" s="205" t="s">
        <v>180</v>
      </c>
      <c r="M15" s="206"/>
      <c r="N15" s="206"/>
      <c r="O15" s="206"/>
      <c r="P15" s="206"/>
      <c r="Q15" s="207"/>
    </row>
    <row r="16" spans="2:33" ht="15.75" thickBot="1" x14ac:dyDescent="0.3">
      <c r="B16" s="7"/>
      <c r="C16" s="8"/>
      <c r="D16" s="7"/>
      <c r="E16" s="8"/>
      <c r="F16" s="7"/>
      <c r="G16" s="8"/>
      <c r="H16" s="7"/>
      <c r="I16" s="8"/>
    </row>
    <row r="17" spans="2:9" x14ac:dyDescent="0.25">
      <c r="B17" s="9" t="s">
        <v>9</v>
      </c>
      <c r="C17" s="10"/>
      <c r="D17" s="382" t="s">
        <v>327</v>
      </c>
      <c r="E17" s="382"/>
      <c r="F17" s="382"/>
      <c r="G17" s="382"/>
      <c r="H17" s="11" t="s">
        <v>10</v>
      </c>
      <c r="I17" s="168">
        <v>31</v>
      </c>
    </row>
    <row r="18" spans="2:9" x14ac:dyDescent="0.25">
      <c r="B18" s="12" t="s">
        <v>11</v>
      </c>
      <c r="C18" s="13"/>
      <c r="D18" s="14"/>
      <c r="E18" s="13"/>
      <c r="F18" s="14"/>
      <c r="G18" s="13"/>
      <c r="H18" s="14"/>
      <c r="I18" s="15" t="s">
        <v>12</v>
      </c>
    </row>
    <row r="19" spans="2:9" x14ac:dyDescent="0.25">
      <c r="B19" s="95" t="s">
        <v>13</v>
      </c>
      <c r="C19" s="17"/>
      <c r="D19" s="7"/>
      <c r="E19" s="8"/>
      <c r="F19" s="7"/>
      <c r="G19" s="8"/>
      <c r="H19" s="7"/>
      <c r="I19" s="18"/>
    </row>
    <row r="20" spans="2:9" x14ac:dyDescent="0.25">
      <c r="B20" s="16" t="s">
        <v>14</v>
      </c>
      <c r="C20" s="19"/>
      <c r="D20" s="20"/>
      <c r="E20" s="21"/>
      <c r="F20" s="20"/>
      <c r="G20" s="21"/>
      <c r="H20" s="179">
        <v>1000</v>
      </c>
      <c r="I20" s="18"/>
    </row>
    <row r="21" spans="2:9" x14ac:dyDescent="0.25">
      <c r="B21" s="16" t="s">
        <v>15</v>
      </c>
      <c r="C21" s="17"/>
      <c r="D21" s="7"/>
      <c r="E21" s="8"/>
      <c r="F21" s="7"/>
      <c r="G21" s="8"/>
      <c r="H21" s="173"/>
      <c r="I21" s="18"/>
    </row>
    <row r="22" spans="2:9" x14ac:dyDescent="0.25">
      <c r="B22" s="169" t="s">
        <v>322</v>
      </c>
      <c r="C22" s="170"/>
      <c r="D22" s="170"/>
      <c r="E22" s="171"/>
      <c r="F22" s="172"/>
      <c r="G22" s="171"/>
      <c r="H22" s="173">
        <v>50</v>
      </c>
      <c r="I22" s="18"/>
    </row>
    <row r="23" spans="2:9" x14ac:dyDescent="0.25">
      <c r="B23" s="174" t="s">
        <v>326</v>
      </c>
      <c r="C23" s="175"/>
      <c r="D23" s="175"/>
      <c r="E23" s="176"/>
      <c r="F23" s="177"/>
      <c r="G23" s="176"/>
      <c r="H23" s="178">
        <v>50</v>
      </c>
      <c r="I23" s="18"/>
    </row>
    <row r="24" spans="2:9" x14ac:dyDescent="0.25">
      <c r="B24" s="169"/>
      <c r="C24" s="23"/>
      <c r="D24" s="23"/>
      <c r="E24" s="24"/>
      <c r="F24" s="25"/>
      <c r="G24" s="24"/>
      <c r="H24" s="173"/>
      <c r="I24" s="18"/>
    </row>
    <row r="25" spans="2:9" x14ac:dyDescent="0.25">
      <c r="B25" s="16" t="s">
        <v>16</v>
      </c>
      <c r="C25" s="17"/>
      <c r="D25" s="26"/>
      <c r="E25" s="24"/>
      <c r="F25" s="25"/>
      <c r="G25" s="24"/>
      <c r="H25" s="178">
        <f>250+50</f>
        <v>300</v>
      </c>
      <c r="I25" s="18"/>
    </row>
    <row r="26" spans="2:9" x14ac:dyDescent="0.25">
      <c r="B26" s="16" t="s">
        <v>17</v>
      </c>
      <c r="C26" s="17"/>
      <c r="D26" s="25"/>
      <c r="E26" s="24"/>
      <c r="F26" s="25"/>
      <c r="G26" s="24"/>
      <c r="H26" s="178"/>
      <c r="I26" s="18"/>
    </row>
    <row r="27" spans="2:9" x14ac:dyDescent="0.25">
      <c r="B27" s="16" t="s">
        <v>18</v>
      </c>
      <c r="C27" s="17"/>
      <c r="D27" s="7"/>
      <c r="E27" s="24"/>
      <c r="F27" s="25"/>
      <c r="G27" s="24"/>
      <c r="H27" s="178"/>
      <c r="I27" s="18"/>
    </row>
    <row r="28" spans="2:9" x14ac:dyDescent="0.25">
      <c r="B28" s="16" t="s">
        <v>19</v>
      </c>
      <c r="C28" s="17"/>
      <c r="D28" s="20"/>
      <c r="E28" s="24"/>
      <c r="F28" s="25"/>
      <c r="G28" s="24"/>
      <c r="H28" s="178"/>
      <c r="I28" s="18"/>
    </row>
    <row r="29" spans="2:9" x14ac:dyDescent="0.25">
      <c r="B29" s="95" t="s">
        <v>20</v>
      </c>
      <c r="C29" s="17"/>
      <c r="D29" s="7"/>
      <c r="E29" s="8"/>
      <c r="F29" s="7"/>
      <c r="G29" s="8"/>
      <c r="H29" s="173"/>
      <c r="I29" s="18"/>
    </row>
    <row r="30" spans="2:9" x14ac:dyDescent="0.25">
      <c r="B30" s="16" t="s">
        <v>21</v>
      </c>
      <c r="C30" s="17"/>
      <c r="D30" s="7"/>
      <c r="E30" s="8"/>
      <c r="F30" s="7"/>
      <c r="G30" s="8"/>
      <c r="H30" s="173"/>
      <c r="I30" s="18"/>
    </row>
    <row r="31" spans="2:9" x14ac:dyDescent="0.25">
      <c r="B31" s="169"/>
      <c r="C31" s="23"/>
      <c r="D31" s="23"/>
      <c r="E31" s="21"/>
      <c r="F31" s="20"/>
      <c r="G31" s="21"/>
      <c r="H31" s="179"/>
      <c r="I31" s="18"/>
    </row>
    <row r="32" spans="2:9" x14ac:dyDescent="0.25">
      <c r="B32" s="169"/>
      <c r="C32" s="23"/>
      <c r="D32" s="23"/>
      <c r="E32" s="21"/>
      <c r="F32" s="20"/>
      <c r="G32" s="21"/>
      <c r="H32" s="179"/>
      <c r="I32" s="18"/>
    </row>
    <row r="33" spans="2:9" x14ac:dyDescent="0.25">
      <c r="B33" s="16" t="s">
        <v>22</v>
      </c>
      <c r="C33" s="17"/>
      <c r="D33" s="7"/>
      <c r="E33" s="8"/>
      <c r="F33" s="7"/>
      <c r="G33" s="8"/>
      <c r="H33" s="189"/>
      <c r="I33" s="18"/>
    </row>
    <row r="34" spans="2:9" x14ac:dyDescent="0.25">
      <c r="B34" s="169"/>
      <c r="C34" s="23"/>
      <c r="D34" s="23"/>
      <c r="E34" s="21"/>
      <c r="F34" s="20"/>
      <c r="G34" s="21"/>
      <c r="H34" s="179"/>
      <c r="I34" s="18"/>
    </row>
    <row r="35" spans="2:9" x14ac:dyDescent="0.25">
      <c r="B35" s="16" t="s">
        <v>23</v>
      </c>
      <c r="C35" s="17"/>
      <c r="D35" s="7"/>
      <c r="E35" s="8"/>
      <c r="F35" s="7"/>
      <c r="G35" s="8"/>
      <c r="H35" s="173"/>
      <c r="I35" s="18"/>
    </row>
    <row r="36" spans="2:9" x14ac:dyDescent="0.25">
      <c r="B36" s="169"/>
      <c r="C36" s="23"/>
      <c r="D36" s="27"/>
      <c r="E36" s="21"/>
      <c r="F36" s="20"/>
      <c r="G36" s="21"/>
      <c r="H36" s="179"/>
      <c r="I36" s="18"/>
    </row>
    <row r="37" spans="2:9" x14ac:dyDescent="0.25">
      <c r="B37" s="16" t="s">
        <v>24</v>
      </c>
      <c r="C37" s="17"/>
      <c r="D37" s="7"/>
      <c r="E37" s="8"/>
      <c r="F37" s="7"/>
      <c r="G37" s="8"/>
      <c r="H37" s="189"/>
      <c r="I37" s="18"/>
    </row>
    <row r="38" spans="2:9" x14ac:dyDescent="0.25">
      <c r="B38" s="169"/>
      <c r="C38" s="23"/>
      <c r="D38" s="23"/>
      <c r="E38" s="21"/>
      <c r="F38" s="20"/>
      <c r="G38" s="21"/>
      <c r="H38" s="179"/>
      <c r="I38" s="18"/>
    </row>
    <row r="39" spans="2:9" x14ac:dyDescent="0.25">
      <c r="B39" s="169"/>
      <c r="C39" s="23"/>
      <c r="D39" s="23"/>
      <c r="E39" s="21"/>
      <c r="F39" s="20"/>
      <c r="G39" s="21"/>
      <c r="H39" s="179"/>
      <c r="I39" s="18"/>
    </row>
    <row r="40" spans="2:9" ht="15.75" thickBot="1" x14ac:dyDescent="0.3">
      <c r="B40" s="12"/>
      <c r="C40" s="13"/>
      <c r="D40" s="14" t="s">
        <v>25</v>
      </c>
      <c r="E40" s="13"/>
      <c r="F40" s="28"/>
      <c r="G40" s="29"/>
      <c r="H40" s="28"/>
      <c r="I40" s="30">
        <f>SUM(H20:H39)</f>
        <v>1400</v>
      </c>
    </row>
    <row r="41" spans="2:9" x14ac:dyDescent="0.25">
      <c r="B41" s="31"/>
      <c r="C41" s="8"/>
      <c r="D41" s="7"/>
      <c r="E41" s="8"/>
      <c r="F41" s="7"/>
      <c r="G41" s="8"/>
      <c r="H41" s="7"/>
      <c r="I41" s="18"/>
    </row>
    <row r="42" spans="2:9" x14ac:dyDescent="0.25">
      <c r="B42" s="12" t="s">
        <v>26</v>
      </c>
      <c r="C42" s="13"/>
      <c r="D42" s="14"/>
      <c r="E42" s="13"/>
      <c r="F42" s="14"/>
      <c r="G42" s="13"/>
      <c r="H42" s="14"/>
      <c r="I42" s="32"/>
    </row>
    <row r="43" spans="2:9" x14ac:dyDescent="0.25">
      <c r="B43" s="12" t="s">
        <v>27</v>
      </c>
      <c r="C43" s="13"/>
      <c r="D43" s="14"/>
      <c r="E43" s="13"/>
      <c r="F43" s="14"/>
      <c r="G43" s="13"/>
      <c r="H43" s="14"/>
      <c r="I43" s="32"/>
    </row>
    <row r="44" spans="2:9" x14ac:dyDescent="0.25">
      <c r="B44" s="31"/>
      <c r="C44" s="8"/>
      <c r="D44" s="7"/>
      <c r="E44" s="8"/>
      <c r="F44" s="33" t="s">
        <v>28</v>
      </c>
      <c r="G44" s="8"/>
      <c r="H44" s="7"/>
      <c r="I44" s="18"/>
    </row>
    <row r="45" spans="2:9" x14ac:dyDescent="0.25">
      <c r="B45" s="16" t="s">
        <v>29</v>
      </c>
      <c r="C45" s="8"/>
      <c r="D45" s="179">
        <f>H20+H22+H23++N4</f>
        <v>1275</v>
      </c>
      <c r="E45" s="34"/>
      <c r="F45" s="180">
        <v>4.7E-2</v>
      </c>
      <c r="G45" s="19"/>
      <c r="H45" s="179">
        <f>D45*F45</f>
        <v>59.924999999999997</v>
      </c>
      <c r="I45" s="18"/>
    </row>
    <row r="46" spans="2:9" x14ac:dyDescent="0.25">
      <c r="B46" s="16" t="s">
        <v>30</v>
      </c>
      <c r="C46" s="21"/>
      <c r="D46" s="179">
        <f>D45+E48+E49</f>
        <v>1575</v>
      </c>
      <c r="E46" s="35"/>
      <c r="F46" s="180">
        <v>1.55E-2</v>
      </c>
      <c r="G46" s="36"/>
      <c r="H46" s="179">
        <f t="shared" ref="H46:H47" si="0">D46*F46</f>
        <v>24.412500000000001</v>
      </c>
      <c r="I46" s="18"/>
    </row>
    <row r="47" spans="2:9" x14ac:dyDescent="0.25">
      <c r="B47" s="16" t="s">
        <v>31</v>
      </c>
      <c r="C47" s="8"/>
      <c r="D47" s="179">
        <f>D45+E48+E49</f>
        <v>1575</v>
      </c>
      <c r="E47" s="35"/>
      <c r="F47" s="180">
        <v>1E-3</v>
      </c>
      <c r="G47" s="36"/>
      <c r="H47" s="179">
        <f t="shared" si="0"/>
        <v>1.575</v>
      </c>
      <c r="I47" s="18"/>
    </row>
    <row r="48" spans="2:9" x14ac:dyDescent="0.25">
      <c r="B48" s="16" t="s">
        <v>32</v>
      </c>
      <c r="C48" s="8"/>
      <c r="D48" s="17"/>
      <c r="E48" s="179">
        <v>250</v>
      </c>
      <c r="F48" s="180">
        <v>4.7E-2</v>
      </c>
      <c r="G48" s="36"/>
      <c r="H48" s="179">
        <f>E48*F48</f>
        <v>11.75</v>
      </c>
      <c r="I48" s="18"/>
    </row>
    <row r="49" spans="2:9" x14ac:dyDescent="0.25">
      <c r="B49" s="16" t="s">
        <v>33</v>
      </c>
      <c r="C49" s="8"/>
      <c r="D49" s="17"/>
      <c r="E49" s="179">
        <v>50</v>
      </c>
      <c r="F49" s="180">
        <v>0.02</v>
      </c>
      <c r="G49" s="36"/>
      <c r="H49" s="179">
        <f>E49*F49</f>
        <v>1</v>
      </c>
      <c r="I49" s="18"/>
    </row>
    <row r="50" spans="2:9" x14ac:dyDescent="0.25">
      <c r="B50" s="12" t="s">
        <v>34</v>
      </c>
      <c r="C50" s="13"/>
      <c r="D50" s="37"/>
      <c r="E50" s="37"/>
      <c r="F50" s="194"/>
      <c r="G50" s="37"/>
      <c r="H50" s="38">
        <f>SUM(H45:H49)</f>
        <v>98.662500000000009</v>
      </c>
      <c r="I50" s="32"/>
    </row>
    <row r="51" spans="2:9" x14ac:dyDescent="0.25">
      <c r="B51" s="31"/>
      <c r="C51" s="8"/>
      <c r="D51" s="17"/>
      <c r="E51" s="17"/>
      <c r="F51" s="17"/>
      <c r="G51" s="17"/>
      <c r="H51" s="22"/>
      <c r="I51" s="18"/>
    </row>
    <row r="52" spans="2:9" x14ac:dyDescent="0.25">
      <c r="B52" s="16" t="s">
        <v>35</v>
      </c>
      <c r="C52" s="181">
        <v>1400</v>
      </c>
      <c r="D52" s="19"/>
      <c r="E52" s="19"/>
      <c r="F52" s="182">
        <v>0.15</v>
      </c>
      <c r="G52" s="19"/>
      <c r="H52" s="179">
        <f>C52*F52</f>
        <v>210</v>
      </c>
      <c r="I52" s="18"/>
    </row>
    <row r="53" spans="2:9" x14ac:dyDescent="0.25">
      <c r="B53" s="16" t="s">
        <v>36</v>
      </c>
      <c r="C53" s="21"/>
      <c r="D53" s="19"/>
      <c r="E53" s="19"/>
      <c r="F53" s="190"/>
      <c r="G53" s="188"/>
      <c r="H53" s="178"/>
      <c r="I53" s="18"/>
    </row>
    <row r="54" spans="2:9" x14ac:dyDescent="0.25">
      <c r="B54" s="16" t="s">
        <v>37</v>
      </c>
      <c r="C54" s="8"/>
      <c r="D54" s="7"/>
      <c r="E54" s="8"/>
      <c r="F54" s="177"/>
      <c r="G54" s="176"/>
      <c r="H54" s="178"/>
      <c r="I54" s="18"/>
    </row>
    <row r="55" spans="2:9" x14ac:dyDescent="0.25">
      <c r="B55" s="16" t="s">
        <v>38</v>
      </c>
      <c r="C55" s="8"/>
      <c r="D55" s="20"/>
      <c r="E55" s="21"/>
      <c r="F55" s="172"/>
      <c r="G55" s="171"/>
      <c r="H55" s="178"/>
      <c r="I55" s="18"/>
    </row>
    <row r="56" spans="2:9" x14ac:dyDescent="0.25">
      <c r="B56" s="31"/>
      <c r="C56" s="8"/>
      <c r="D56" s="7"/>
      <c r="E56" s="8"/>
      <c r="F56" s="7"/>
      <c r="G56" s="8"/>
      <c r="H56" s="39"/>
      <c r="I56" s="18"/>
    </row>
    <row r="57" spans="2:9" x14ac:dyDescent="0.25">
      <c r="B57" s="12"/>
      <c r="C57" s="13"/>
      <c r="D57" s="14" t="s">
        <v>39</v>
      </c>
      <c r="E57" s="13"/>
      <c r="F57" s="28"/>
      <c r="G57" s="29"/>
      <c r="H57" s="40">
        <f>H50+H52+H53+H54+H55</f>
        <v>308.66250000000002</v>
      </c>
      <c r="I57" s="32"/>
    </row>
    <row r="58" spans="2:9" ht="15.75" thickBot="1" x14ac:dyDescent="0.3">
      <c r="B58" s="12"/>
      <c r="C58" s="13"/>
      <c r="D58" s="14" t="s">
        <v>40</v>
      </c>
      <c r="E58" s="13"/>
      <c r="F58" s="14"/>
      <c r="G58" s="29"/>
      <c r="H58" s="28"/>
      <c r="I58" s="41">
        <f>I40-H57</f>
        <v>1091.3375000000001</v>
      </c>
    </row>
    <row r="59" spans="2:9" x14ac:dyDescent="0.25">
      <c r="B59" s="31"/>
      <c r="C59" s="8"/>
      <c r="D59" s="17" t="s">
        <v>41</v>
      </c>
      <c r="E59" s="8"/>
      <c r="F59" s="7"/>
      <c r="G59" s="17" t="s">
        <v>42</v>
      </c>
      <c r="H59" s="7"/>
      <c r="I59" s="42" t="s">
        <v>43</v>
      </c>
    </row>
    <row r="60" spans="2:9" x14ac:dyDescent="0.25">
      <c r="B60" s="31"/>
      <c r="C60" s="8"/>
      <c r="D60" s="7"/>
      <c r="E60" s="8"/>
      <c r="F60" s="7"/>
      <c r="G60" s="8"/>
      <c r="H60" s="7"/>
      <c r="I60" s="18"/>
    </row>
    <row r="61" spans="2:9" ht="15.75" thickBot="1" x14ac:dyDescent="0.3">
      <c r="B61" s="43"/>
      <c r="C61" s="44"/>
      <c r="D61" s="45"/>
      <c r="E61" s="44"/>
      <c r="F61" s="45"/>
      <c r="G61" s="44"/>
      <c r="H61" s="45"/>
      <c r="I61" s="46"/>
    </row>
    <row r="62" spans="2:9" ht="15.75" thickBot="1" x14ac:dyDescent="0.3">
      <c r="B62" s="7"/>
      <c r="C62" s="8"/>
      <c r="D62" s="7"/>
      <c r="E62" s="8"/>
      <c r="F62" s="7"/>
      <c r="G62" s="8"/>
      <c r="H62" s="7"/>
      <c r="I62" s="8"/>
    </row>
    <row r="63" spans="2:9" ht="15" customHeight="1" x14ac:dyDescent="0.25">
      <c r="B63" s="372" t="s">
        <v>44</v>
      </c>
      <c r="C63" s="373"/>
      <c r="D63" s="373"/>
      <c r="E63" s="373"/>
      <c r="F63" s="373"/>
      <c r="G63" s="373"/>
      <c r="H63" s="373"/>
      <c r="I63" s="374"/>
    </row>
    <row r="64" spans="2:9" ht="15.75" thickBot="1" x14ac:dyDescent="0.3">
      <c r="B64" s="379" t="s">
        <v>45</v>
      </c>
      <c r="C64" s="380"/>
      <c r="D64" s="380"/>
      <c r="E64" s="380"/>
      <c r="F64" s="380"/>
      <c r="G64" s="380"/>
      <c r="H64" s="380"/>
      <c r="I64" s="381"/>
    </row>
    <row r="65" spans="2:9" x14ac:dyDescent="0.25">
      <c r="B65" s="16" t="s">
        <v>46</v>
      </c>
      <c r="C65" s="17"/>
      <c r="D65" s="17"/>
      <c r="E65" s="8"/>
      <c r="F65" s="7"/>
      <c r="G65" s="8"/>
      <c r="H65" s="7"/>
      <c r="I65" s="18"/>
    </row>
    <row r="66" spans="2:9" x14ac:dyDescent="0.25">
      <c r="B66" s="16" t="s">
        <v>47</v>
      </c>
      <c r="C66" s="17"/>
      <c r="D66" s="19"/>
      <c r="E66" s="183">
        <f>E68-E67</f>
        <v>1100</v>
      </c>
      <c r="F66" s="47"/>
      <c r="G66" s="47"/>
      <c r="H66" s="7"/>
      <c r="I66" s="18"/>
    </row>
    <row r="67" spans="2:9" x14ac:dyDescent="0.25">
      <c r="B67" s="16" t="s">
        <v>48</v>
      </c>
      <c r="C67" s="17"/>
      <c r="D67" s="24"/>
      <c r="E67" s="184">
        <f>N4</f>
        <v>175</v>
      </c>
      <c r="F67" s="47"/>
      <c r="G67" s="48" t="s">
        <v>28</v>
      </c>
      <c r="H67" s="375" t="s">
        <v>49</v>
      </c>
      <c r="I67" s="376"/>
    </row>
    <row r="68" spans="2:9" x14ac:dyDescent="0.25">
      <c r="B68" s="16"/>
      <c r="C68" s="17"/>
      <c r="D68" s="49" t="s">
        <v>50</v>
      </c>
      <c r="E68" s="184">
        <f>D45</f>
        <v>1275</v>
      </c>
      <c r="F68" s="47"/>
      <c r="G68" s="187">
        <v>0.23599999999999999</v>
      </c>
      <c r="H68" s="50"/>
      <c r="I68" s="195">
        <f>E68*G68</f>
        <v>300.89999999999998</v>
      </c>
    </row>
    <row r="69" spans="2:9" x14ac:dyDescent="0.25">
      <c r="B69" s="16"/>
      <c r="C69" s="17"/>
      <c r="D69" s="17"/>
      <c r="E69" s="47"/>
      <c r="F69" s="48" t="s">
        <v>51</v>
      </c>
      <c r="G69" s="193"/>
      <c r="H69" s="17"/>
      <c r="I69" s="196"/>
    </row>
    <row r="70" spans="2:9" ht="15" customHeight="1" x14ac:dyDescent="0.25">
      <c r="B70" s="377" t="s">
        <v>52</v>
      </c>
      <c r="C70" s="378"/>
      <c r="D70" s="378"/>
      <c r="E70" s="47" t="s">
        <v>53</v>
      </c>
      <c r="F70" s="183">
        <f>D46</f>
        <v>1575</v>
      </c>
      <c r="G70" s="185">
        <v>1.4999999999999999E-2</v>
      </c>
      <c r="H70" s="47"/>
      <c r="I70" s="195">
        <f>F70*G70</f>
        <v>23.625</v>
      </c>
    </row>
    <row r="71" spans="2:9" x14ac:dyDescent="0.25">
      <c r="B71" s="377"/>
      <c r="C71" s="378"/>
      <c r="D71" s="378"/>
      <c r="E71" s="47" t="s">
        <v>30</v>
      </c>
      <c r="F71" s="183">
        <f t="shared" ref="F71" si="1">D47</f>
        <v>1575</v>
      </c>
      <c r="G71" s="186">
        <v>5.5E-2</v>
      </c>
      <c r="H71" s="51"/>
      <c r="I71" s="195">
        <f>F71*G71</f>
        <v>86.625</v>
      </c>
    </row>
    <row r="72" spans="2:9" x14ac:dyDescent="0.25">
      <c r="B72" s="377"/>
      <c r="C72" s="378"/>
      <c r="D72" s="378"/>
      <c r="E72" s="8" t="s">
        <v>54</v>
      </c>
      <c r="F72" s="183">
        <f>D47</f>
        <v>1575</v>
      </c>
      <c r="G72" s="186">
        <v>6.0000000000000001E-3</v>
      </c>
      <c r="H72" s="51"/>
      <c r="I72" s="195">
        <f t="shared" ref="I72:I75" si="2">F72*G72</f>
        <v>9.4500000000000011</v>
      </c>
    </row>
    <row r="73" spans="2:9" x14ac:dyDescent="0.25">
      <c r="B73" s="192"/>
      <c r="C73" s="191"/>
      <c r="D73" s="191"/>
      <c r="E73" s="8" t="s">
        <v>55</v>
      </c>
      <c r="F73" s="183">
        <f>D46</f>
        <v>1575</v>
      </c>
      <c r="G73" s="186">
        <v>2E-3</v>
      </c>
      <c r="H73" s="51"/>
      <c r="I73" s="195">
        <f t="shared" si="2"/>
        <v>3.15</v>
      </c>
    </row>
    <row r="74" spans="2:9" x14ac:dyDescent="0.25">
      <c r="B74" s="16" t="s">
        <v>56</v>
      </c>
      <c r="C74" s="17"/>
      <c r="D74" s="17"/>
      <c r="E74" s="8"/>
      <c r="F74" s="183">
        <v>250</v>
      </c>
      <c r="G74" s="186">
        <v>0.23599999999999999</v>
      </c>
      <c r="H74" s="51"/>
      <c r="I74" s="195">
        <f t="shared" si="2"/>
        <v>59</v>
      </c>
    </row>
    <row r="75" spans="2:9" x14ac:dyDescent="0.25">
      <c r="B75" s="16" t="s">
        <v>57</v>
      </c>
      <c r="C75" s="17"/>
      <c r="D75" s="17"/>
      <c r="E75" s="8"/>
      <c r="F75" s="184">
        <v>50</v>
      </c>
      <c r="G75" s="187">
        <v>0.12</v>
      </c>
      <c r="H75" s="52"/>
      <c r="I75" s="195">
        <f t="shared" si="2"/>
        <v>6</v>
      </c>
    </row>
    <row r="76" spans="2:9" ht="15.75" thickBot="1" x14ac:dyDescent="0.3">
      <c r="B76" s="16" t="s">
        <v>58</v>
      </c>
      <c r="C76" s="17"/>
      <c r="D76" s="17"/>
      <c r="E76" s="8"/>
      <c r="F76" s="184"/>
      <c r="G76" s="8"/>
      <c r="H76" s="53" t="s">
        <v>59</v>
      </c>
      <c r="I76" s="54">
        <f>SUM(I68:I75)</f>
        <v>488.74999999999994</v>
      </c>
    </row>
    <row r="77" spans="2:9" ht="15.75" thickBot="1" x14ac:dyDescent="0.3">
      <c r="B77" s="55"/>
      <c r="C77" s="56"/>
      <c r="D77" s="57"/>
      <c r="E77" s="56"/>
      <c r="F77" s="57"/>
      <c r="G77" s="56"/>
      <c r="H77" s="57"/>
      <c r="I77" s="58"/>
    </row>
    <row r="80" spans="2:9" x14ac:dyDescent="0.25">
      <c r="F80" s="108"/>
      <c r="G80" s="108"/>
    </row>
  </sheetData>
  <mergeCells count="18">
    <mergeCell ref="O5:R5"/>
    <mergeCell ref="K2:N2"/>
    <mergeCell ref="B63:I63"/>
    <mergeCell ref="H67:I67"/>
    <mergeCell ref="K5:N5"/>
    <mergeCell ref="O2:R2"/>
    <mergeCell ref="B64:I64"/>
    <mergeCell ref="B2:I10"/>
    <mergeCell ref="B70:D72"/>
    <mergeCell ref="C11:E11"/>
    <mergeCell ref="G11:I11"/>
    <mergeCell ref="C12:E12"/>
    <mergeCell ref="G12:I12"/>
    <mergeCell ref="C13:E13"/>
    <mergeCell ref="G13:I13"/>
    <mergeCell ref="C14:E14"/>
    <mergeCell ref="G14:I14"/>
    <mergeCell ref="D17:G17"/>
  </mergeCell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AG66"/>
  <sheetViews>
    <sheetView topLeftCell="A15" workbookViewId="0">
      <selection activeCell="F36" sqref="F36"/>
    </sheetView>
  </sheetViews>
  <sheetFormatPr baseColWidth="10" defaultColWidth="11.42578125" defaultRowHeight="15" x14ac:dyDescent="0.25"/>
  <cols>
    <col min="1" max="1" width="11.42578125" style="84"/>
    <col min="2" max="2" width="16.7109375" style="124" customWidth="1"/>
    <col min="3" max="5" width="11.42578125" style="124" customWidth="1"/>
    <col min="6" max="6" width="13.85546875" style="124" customWidth="1"/>
    <col min="7" max="7" width="11.42578125" style="124" customWidth="1"/>
    <col min="8" max="8" width="12" style="124" bestFit="1" customWidth="1"/>
    <col min="9" max="9" width="12.85546875" style="124" customWidth="1"/>
    <col min="10" max="10" width="11.42578125" style="84"/>
    <col min="11" max="11" width="22.85546875" style="84" customWidth="1"/>
    <col min="12" max="12" width="14.42578125" style="84" customWidth="1"/>
    <col min="13" max="13" width="18.42578125" style="84" customWidth="1"/>
    <col min="14" max="14" width="19.42578125" style="84" customWidth="1"/>
    <col min="15" max="15" width="12.85546875" style="84" customWidth="1"/>
    <col min="16" max="16" width="13" style="84" customWidth="1"/>
    <col min="17" max="17" width="17.28515625" style="84" customWidth="1"/>
    <col min="18" max="18" width="16.28515625" style="84" customWidth="1"/>
    <col min="19" max="16384" width="11.42578125" style="84"/>
  </cols>
  <sheetData>
    <row r="1" spans="2:33" x14ac:dyDescent="0.25">
      <c r="B1" s="84"/>
      <c r="C1" s="84"/>
      <c r="D1" s="84"/>
      <c r="E1" s="84"/>
      <c r="F1" s="84"/>
      <c r="G1" s="84"/>
      <c r="H1" s="84"/>
      <c r="I1" s="84"/>
    </row>
    <row r="4" spans="2:33" ht="15.75" thickBot="1" x14ac:dyDescent="0.3"/>
    <row r="5" spans="2:33" ht="15.75" thickBot="1" x14ac:dyDescent="0.3">
      <c r="B5" s="416" t="s">
        <v>183</v>
      </c>
      <c r="C5" s="417"/>
      <c r="D5" s="417"/>
      <c r="E5" s="417"/>
      <c r="F5" s="417"/>
      <c r="G5" s="417"/>
      <c r="H5" s="417"/>
      <c r="I5" s="418"/>
      <c r="K5" s="118" t="s">
        <v>216</v>
      </c>
      <c r="L5" s="118">
        <v>1</v>
      </c>
      <c r="M5" s="118" t="s">
        <v>217</v>
      </c>
    </row>
    <row r="6" spans="2:33" ht="15.75" thickBot="1" x14ac:dyDescent="0.3">
      <c r="B6" s="125"/>
    </row>
    <row r="7" spans="2:33" ht="15.75" thickBot="1" x14ac:dyDescent="0.3">
      <c r="B7" s="419" t="s">
        <v>192</v>
      </c>
      <c r="C7" s="420"/>
      <c r="D7" s="420"/>
      <c r="E7" s="420"/>
      <c r="F7" s="420"/>
      <c r="G7" s="420"/>
      <c r="H7" s="420"/>
      <c r="I7" s="421"/>
      <c r="K7" s="425" t="s">
        <v>194</v>
      </c>
      <c r="L7" s="425"/>
      <c r="M7" s="425"/>
      <c r="N7" s="425"/>
      <c r="O7" s="425"/>
      <c r="P7" s="425"/>
      <c r="Q7" s="425"/>
      <c r="R7" s="425"/>
      <c r="S7" s="425"/>
      <c r="T7" s="425"/>
      <c r="U7" s="126"/>
      <c r="V7" s="126"/>
    </row>
    <row r="8" spans="2:33" ht="15.75" thickBot="1" x14ac:dyDescent="0.3">
      <c r="B8" s="127"/>
      <c r="K8" s="425"/>
      <c r="L8" s="425"/>
      <c r="M8" s="425"/>
      <c r="N8" s="425"/>
      <c r="O8" s="425"/>
      <c r="P8" s="425"/>
      <c r="Q8" s="425"/>
      <c r="R8" s="425"/>
      <c r="S8" s="425"/>
      <c r="T8" s="425"/>
      <c r="U8" s="126"/>
      <c r="V8" s="126"/>
      <c r="Y8" s="126"/>
      <c r="Z8" s="126"/>
      <c r="AA8" s="126"/>
      <c r="AB8" s="126"/>
      <c r="AC8" s="126"/>
      <c r="AD8" s="126"/>
      <c r="AE8" s="126"/>
      <c r="AF8" s="126"/>
      <c r="AG8" s="126"/>
    </row>
    <row r="9" spans="2:33" x14ac:dyDescent="0.25">
      <c r="B9" s="441" t="s">
        <v>193</v>
      </c>
      <c r="C9" s="442"/>
      <c r="D9" s="442"/>
      <c r="E9" s="442"/>
      <c r="F9" s="442"/>
      <c r="G9" s="442"/>
      <c r="H9" s="442"/>
      <c r="I9" s="443"/>
      <c r="K9" s="425"/>
      <c r="L9" s="425"/>
      <c r="M9" s="425"/>
      <c r="N9" s="425"/>
      <c r="O9" s="425"/>
      <c r="P9" s="425"/>
      <c r="Q9" s="425"/>
      <c r="R9" s="425"/>
      <c r="S9" s="425"/>
      <c r="T9" s="425"/>
    </row>
    <row r="10" spans="2:33" x14ac:dyDescent="0.25">
      <c r="B10" s="444"/>
      <c r="C10" s="445"/>
      <c r="D10" s="445"/>
      <c r="E10" s="445"/>
      <c r="F10" s="445"/>
      <c r="G10" s="445"/>
      <c r="H10" s="445"/>
      <c r="I10" s="446"/>
      <c r="K10" s="425"/>
      <c r="L10" s="425"/>
      <c r="M10" s="425"/>
      <c r="N10" s="425"/>
      <c r="O10" s="425"/>
      <c r="P10" s="425"/>
      <c r="Q10" s="425"/>
      <c r="R10" s="425"/>
      <c r="S10" s="425"/>
      <c r="T10" s="425"/>
    </row>
    <row r="11" spans="2:33" x14ac:dyDescent="0.25">
      <c r="B11" s="444"/>
      <c r="C11" s="445"/>
      <c r="D11" s="445"/>
      <c r="E11" s="445"/>
      <c r="F11" s="445"/>
      <c r="G11" s="445"/>
      <c r="H11" s="445"/>
      <c r="I11" s="446"/>
      <c r="K11" s="425"/>
      <c r="L11" s="425"/>
      <c r="M11" s="425"/>
      <c r="N11" s="425"/>
      <c r="O11" s="425"/>
      <c r="P11" s="425"/>
      <c r="Q11" s="425"/>
      <c r="R11" s="425"/>
      <c r="S11" s="425"/>
      <c r="T11" s="425"/>
    </row>
    <row r="12" spans="2:33" ht="15.75" thickBot="1" x14ac:dyDescent="0.3">
      <c r="B12" s="447"/>
      <c r="C12" s="448"/>
      <c r="D12" s="448"/>
      <c r="E12" s="448"/>
      <c r="F12" s="448"/>
      <c r="G12" s="448"/>
      <c r="H12" s="448"/>
      <c r="I12" s="449"/>
      <c r="K12" s="425"/>
      <c r="L12" s="425"/>
      <c r="M12" s="425"/>
      <c r="N12" s="425"/>
      <c r="O12" s="425"/>
      <c r="P12" s="425"/>
      <c r="Q12" s="425"/>
      <c r="R12" s="425"/>
      <c r="S12" s="425"/>
      <c r="T12" s="425"/>
    </row>
    <row r="13" spans="2:33" ht="15.75" thickBot="1" x14ac:dyDescent="0.3">
      <c r="B13" s="127"/>
      <c r="K13" s="425"/>
      <c r="L13" s="425"/>
      <c r="M13" s="425"/>
      <c r="N13" s="425"/>
      <c r="O13" s="425"/>
      <c r="P13" s="425"/>
      <c r="Q13" s="425"/>
      <c r="R13" s="425"/>
      <c r="S13" s="425"/>
      <c r="T13" s="425"/>
    </row>
    <row r="14" spans="2:33" x14ac:dyDescent="0.25">
      <c r="B14" s="128"/>
      <c r="C14" s="129"/>
      <c r="D14" s="129"/>
      <c r="E14" s="129"/>
      <c r="F14" s="129"/>
      <c r="G14" s="129"/>
      <c r="H14" s="129"/>
      <c r="I14" s="130"/>
      <c r="K14" s="425"/>
      <c r="L14" s="425"/>
      <c r="M14" s="425"/>
      <c r="N14" s="425"/>
      <c r="O14" s="425"/>
      <c r="P14" s="425"/>
      <c r="Q14" s="425"/>
      <c r="R14" s="425"/>
      <c r="S14" s="425"/>
      <c r="T14" s="425"/>
    </row>
    <row r="15" spans="2:33" x14ac:dyDescent="0.25">
      <c r="B15" s="131" t="s">
        <v>195</v>
      </c>
      <c r="I15" s="132"/>
      <c r="K15" s="425"/>
      <c r="L15" s="425"/>
      <c r="M15" s="425"/>
      <c r="N15" s="425"/>
      <c r="O15" s="425"/>
      <c r="P15" s="425"/>
      <c r="Q15" s="425"/>
      <c r="R15" s="425"/>
      <c r="S15" s="425"/>
      <c r="T15" s="425"/>
    </row>
    <row r="16" spans="2:33" ht="15.75" thickBot="1" x14ac:dyDescent="0.3">
      <c r="B16" s="131"/>
      <c r="I16" s="132"/>
    </row>
    <row r="17" spans="2:18" x14ac:dyDescent="0.25">
      <c r="B17" s="133" t="s">
        <v>196</v>
      </c>
      <c r="C17" s="134"/>
      <c r="D17" s="134"/>
      <c r="E17" s="135"/>
      <c r="F17" s="134">
        <v>1320</v>
      </c>
      <c r="I17" s="132"/>
      <c r="K17" s="422" t="s">
        <v>169</v>
      </c>
      <c r="L17" s="423"/>
      <c r="M17" s="423"/>
      <c r="N17" s="424"/>
      <c r="O17" s="422" t="s">
        <v>224</v>
      </c>
      <c r="P17" s="423"/>
      <c r="Q17" s="423"/>
      <c r="R17" s="424"/>
    </row>
    <row r="18" spans="2:18" x14ac:dyDescent="0.25">
      <c r="B18" s="133" t="s">
        <v>198</v>
      </c>
      <c r="C18" s="134"/>
      <c r="D18" s="134"/>
      <c r="E18" s="135"/>
      <c r="F18" s="134">
        <f>(31+28+31+30+31+30)*1320/365</f>
        <v>654.57534246575347</v>
      </c>
      <c r="I18" s="132"/>
      <c r="K18" s="150" t="s">
        <v>170</v>
      </c>
      <c r="L18" s="143" t="s">
        <v>171</v>
      </c>
      <c r="M18" s="143" t="s">
        <v>172</v>
      </c>
      <c r="N18" s="151" t="s">
        <v>173</v>
      </c>
      <c r="O18" s="150" t="s">
        <v>202</v>
      </c>
      <c r="P18" s="143" t="s">
        <v>203</v>
      </c>
      <c r="Q18" s="143" t="s">
        <v>204</v>
      </c>
      <c r="R18" s="151" t="s">
        <v>205</v>
      </c>
    </row>
    <row r="19" spans="2:18" ht="15.75" thickBot="1" x14ac:dyDescent="0.3">
      <c r="B19" s="133" t="s">
        <v>197</v>
      </c>
      <c r="C19" s="134"/>
      <c r="D19" s="134"/>
      <c r="F19" s="134">
        <v>1320</v>
      </c>
      <c r="I19" s="132"/>
      <c r="K19" s="152">
        <v>1320</v>
      </c>
      <c r="L19" s="153">
        <v>2</v>
      </c>
      <c r="M19" s="154">
        <f>K19*L19</f>
        <v>2640</v>
      </c>
      <c r="N19" s="155">
        <f>M19/12</f>
        <v>220</v>
      </c>
      <c r="O19" s="152">
        <v>1200</v>
      </c>
      <c r="P19" s="152">
        <f>120+654.58</f>
        <v>774.58</v>
      </c>
      <c r="Q19" s="154">
        <v>220</v>
      </c>
      <c r="R19" s="155">
        <f>O19+P19+Q19</f>
        <v>2194.58</v>
      </c>
    </row>
    <row r="20" spans="2:18" ht="15.75" thickBot="1" x14ac:dyDescent="0.3">
      <c r="B20" s="133" t="s">
        <v>184</v>
      </c>
      <c r="C20" s="134"/>
      <c r="D20" s="134"/>
      <c r="F20" s="134"/>
      <c r="I20" s="132"/>
    </row>
    <row r="21" spans="2:18" x14ac:dyDescent="0.25">
      <c r="B21" s="133" t="s">
        <v>185</v>
      </c>
      <c r="C21" s="134"/>
      <c r="D21" s="134"/>
      <c r="F21" s="134"/>
      <c r="I21" s="132"/>
      <c r="K21" s="144" t="s">
        <v>207</v>
      </c>
      <c r="L21" s="145"/>
      <c r="M21" s="145"/>
      <c r="N21" s="145"/>
      <c r="O21" s="145"/>
      <c r="P21" s="145"/>
      <c r="Q21" s="145"/>
      <c r="R21" s="120"/>
    </row>
    <row r="22" spans="2:18" x14ac:dyDescent="0.25">
      <c r="B22" s="133" t="s">
        <v>199</v>
      </c>
      <c r="C22" s="134"/>
      <c r="D22" s="134"/>
      <c r="F22" s="134">
        <v>0</v>
      </c>
      <c r="I22" s="132"/>
      <c r="K22" s="146" t="s">
        <v>208</v>
      </c>
      <c r="L22" s="119"/>
      <c r="M22" s="119"/>
      <c r="N22" s="119"/>
      <c r="O22" s="119"/>
      <c r="P22" s="119"/>
      <c r="Q22" s="119"/>
      <c r="R22" s="121"/>
    </row>
    <row r="23" spans="2:18" x14ac:dyDescent="0.25">
      <c r="B23" s="131"/>
      <c r="I23" s="132"/>
      <c r="K23" s="146" t="s">
        <v>209</v>
      </c>
      <c r="L23" s="119"/>
      <c r="M23" s="119"/>
      <c r="N23" s="119"/>
      <c r="O23" s="119"/>
      <c r="P23" s="119"/>
      <c r="Q23" s="119"/>
      <c r="R23" s="121"/>
    </row>
    <row r="24" spans="2:18" x14ac:dyDescent="0.25">
      <c r="B24" s="133" t="s">
        <v>186</v>
      </c>
      <c r="C24" s="134"/>
      <c r="D24" s="134"/>
      <c r="F24" s="134">
        <f>SUM(F17:F22)</f>
        <v>3294.5753424657532</v>
      </c>
      <c r="I24" s="132"/>
      <c r="K24" s="146" t="s">
        <v>210</v>
      </c>
      <c r="L24" s="119"/>
      <c r="M24" s="119"/>
      <c r="N24" s="119"/>
      <c r="O24" s="119"/>
      <c r="P24" s="119"/>
      <c r="Q24" s="119"/>
      <c r="R24" s="121"/>
    </row>
    <row r="25" spans="2:18" ht="15.75" thickBot="1" x14ac:dyDescent="0.3">
      <c r="B25" s="136"/>
      <c r="C25" s="137"/>
      <c r="D25" s="137"/>
      <c r="E25" s="137"/>
      <c r="F25" s="137"/>
      <c r="G25" s="137"/>
      <c r="H25" s="137"/>
      <c r="I25" s="138"/>
      <c r="K25" s="146" t="s">
        <v>211</v>
      </c>
      <c r="L25" s="119"/>
      <c r="M25" s="119"/>
      <c r="N25" s="119"/>
      <c r="O25" s="119"/>
      <c r="P25" s="119"/>
      <c r="Q25" s="119"/>
      <c r="R25" s="121"/>
    </row>
    <row r="26" spans="2:18" ht="15.75" thickBot="1" x14ac:dyDescent="0.3">
      <c r="B26" s="127"/>
      <c r="K26" s="146" t="s">
        <v>212</v>
      </c>
      <c r="L26" s="119"/>
      <c r="M26" s="119"/>
      <c r="N26" s="119"/>
      <c r="O26" s="119"/>
      <c r="P26" s="119"/>
      <c r="Q26" s="119"/>
      <c r="R26" s="121"/>
    </row>
    <row r="27" spans="2:18" ht="15" customHeight="1" x14ac:dyDescent="0.25">
      <c r="B27" s="139"/>
      <c r="C27" s="129"/>
      <c r="D27" s="129"/>
      <c r="E27" s="129"/>
      <c r="F27" s="129"/>
      <c r="G27" s="129"/>
      <c r="H27" s="129"/>
      <c r="I27" s="130"/>
      <c r="K27" s="146" t="s">
        <v>213</v>
      </c>
      <c r="R27" s="121"/>
    </row>
    <row r="28" spans="2:18" x14ac:dyDescent="0.25">
      <c r="B28" s="140" t="s">
        <v>200</v>
      </c>
      <c r="F28" s="134">
        <f>2194.58*(4.7+1.55+0.1)%</f>
        <v>139.35583</v>
      </c>
      <c r="I28" s="132"/>
      <c r="K28" s="146" t="s">
        <v>214</v>
      </c>
      <c r="R28" s="121"/>
    </row>
    <row r="29" spans="2:18" ht="15.75" thickBot="1" x14ac:dyDescent="0.3">
      <c r="B29" s="140"/>
      <c r="I29" s="132"/>
      <c r="K29" s="147" t="s">
        <v>215</v>
      </c>
      <c r="L29" s="122"/>
      <c r="M29" s="122"/>
      <c r="N29" s="122"/>
      <c r="O29" s="122"/>
      <c r="P29" s="122"/>
      <c r="Q29" s="122"/>
      <c r="R29" s="123"/>
    </row>
    <row r="30" spans="2:18" x14ac:dyDescent="0.25">
      <c r="B30" s="140" t="s">
        <v>201</v>
      </c>
      <c r="F30" s="134">
        <f>3294.58*10%</f>
        <v>329.45800000000003</v>
      </c>
      <c r="I30" s="132"/>
    </row>
    <row r="31" spans="2:18" ht="15" customHeight="1" thickBot="1" x14ac:dyDescent="0.3">
      <c r="B31" s="141"/>
      <c r="C31" s="137"/>
      <c r="D31" s="137"/>
      <c r="E31" s="137"/>
      <c r="F31" s="137"/>
      <c r="G31" s="137"/>
      <c r="H31" s="137"/>
      <c r="I31" s="138"/>
    </row>
    <row r="32" spans="2:18" ht="15.75" thickBot="1" x14ac:dyDescent="0.3"/>
    <row r="33" spans="2:9" x14ac:dyDescent="0.25">
      <c r="B33" s="139"/>
      <c r="C33" s="129"/>
      <c r="D33" s="129"/>
      <c r="E33" s="129"/>
      <c r="F33" s="129"/>
      <c r="G33" s="129"/>
      <c r="H33" s="129"/>
      <c r="I33" s="130"/>
    </row>
    <row r="34" spans="2:9" x14ac:dyDescent="0.25">
      <c r="B34" s="140" t="s">
        <v>188</v>
      </c>
      <c r="F34" s="134">
        <f>F28+F30</f>
        <v>468.81383000000005</v>
      </c>
      <c r="I34" s="132"/>
    </row>
    <row r="35" spans="2:9" ht="15" customHeight="1" x14ac:dyDescent="0.25">
      <c r="B35" s="140"/>
      <c r="I35" s="132"/>
    </row>
    <row r="36" spans="2:9" x14ac:dyDescent="0.25">
      <c r="B36" s="140" t="s">
        <v>189</v>
      </c>
      <c r="F36" s="134">
        <f>F24-F34</f>
        <v>2825.7615124657532</v>
      </c>
      <c r="I36" s="132"/>
    </row>
    <row r="37" spans="2:9" x14ac:dyDescent="0.25">
      <c r="B37" s="140"/>
      <c r="I37" s="132"/>
    </row>
    <row r="38" spans="2:9" x14ac:dyDescent="0.25">
      <c r="B38" s="140"/>
      <c r="I38" s="132"/>
    </row>
    <row r="39" spans="2:9" x14ac:dyDescent="0.25">
      <c r="B39" s="444" t="s">
        <v>187</v>
      </c>
      <c r="C39" s="445"/>
      <c r="D39" s="445"/>
      <c r="E39" s="445"/>
      <c r="F39" s="445"/>
      <c r="G39" s="445"/>
      <c r="H39" s="445"/>
      <c r="I39" s="446"/>
    </row>
    <row r="40" spans="2:9" x14ac:dyDescent="0.25">
      <c r="B40" s="444"/>
      <c r="C40" s="445"/>
      <c r="D40" s="445"/>
      <c r="E40" s="445"/>
      <c r="F40" s="445"/>
      <c r="G40" s="445"/>
      <c r="H40" s="445"/>
      <c r="I40" s="446"/>
    </row>
    <row r="41" spans="2:9" ht="15.75" thickBot="1" x14ac:dyDescent="0.3">
      <c r="B41" s="447"/>
      <c r="C41" s="448"/>
      <c r="D41" s="448"/>
      <c r="E41" s="448"/>
      <c r="F41" s="448"/>
      <c r="G41" s="448"/>
      <c r="H41" s="448"/>
      <c r="I41" s="449"/>
    </row>
    <row r="42" spans="2:9" x14ac:dyDescent="0.25">
      <c r="B42" s="127"/>
    </row>
    <row r="43" spans="2:9" ht="15.75" thickBot="1" x14ac:dyDescent="0.3">
      <c r="B43" s="127"/>
    </row>
    <row r="44" spans="2:9" x14ac:dyDescent="0.25">
      <c r="B44" s="426" t="s">
        <v>206</v>
      </c>
      <c r="C44" s="427"/>
      <c r="D44" s="427"/>
      <c r="E44" s="427"/>
      <c r="F44" s="427"/>
      <c r="G44" s="427"/>
      <c r="H44" s="427"/>
      <c r="I44" s="428"/>
    </row>
    <row r="45" spans="2:9" x14ac:dyDescent="0.25">
      <c r="B45" s="429"/>
      <c r="C45" s="430"/>
      <c r="D45" s="430"/>
      <c r="E45" s="430"/>
      <c r="F45" s="430"/>
      <c r="G45" s="430"/>
      <c r="H45" s="430"/>
      <c r="I45" s="431"/>
    </row>
    <row r="46" spans="2:9" x14ac:dyDescent="0.25">
      <c r="B46" s="432" t="s">
        <v>191</v>
      </c>
      <c r="C46" s="433"/>
      <c r="D46" s="433"/>
      <c r="E46" s="433"/>
      <c r="F46" s="433"/>
      <c r="G46" s="433"/>
      <c r="H46" s="433"/>
      <c r="I46" s="434"/>
    </row>
    <row r="47" spans="2:9" ht="15.75" thickBot="1" x14ac:dyDescent="0.3">
      <c r="B47" s="435"/>
      <c r="C47" s="436"/>
      <c r="D47" s="436"/>
      <c r="E47" s="436"/>
      <c r="F47" s="436"/>
      <c r="G47" s="436"/>
      <c r="H47" s="436"/>
      <c r="I47" s="437"/>
    </row>
    <row r="48" spans="2:9" ht="15.75" thickBot="1" x14ac:dyDescent="0.3">
      <c r="B48" s="142"/>
    </row>
    <row r="49" spans="2:9" ht="15.75" thickBot="1" x14ac:dyDescent="0.3">
      <c r="B49" s="438" t="s">
        <v>190</v>
      </c>
      <c r="C49" s="439"/>
      <c r="D49" s="439"/>
      <c r="E49" s="439"/>
      <c r="F49" s="439"/>
      <c r="G49" s="439"/>
      <c r="H49" s="439"/>
      <c r="I49" s="440"/>
    </row>
    <row r="58" spans="2:9" ht="15" customHeight="1" x14ac:dyDescent="0.25"/>
    <row r="59" spans="2:9" ht="15" customHeight="1" x14ac:dyDescent="0.25"/>
    <row r="65" ht="15" customHeight="1" x14ac:dyDescent="0.25"/>
    <row r="66" ht="15" customHeight="1" x14ac:dyDescent="0.25"/>
  </sheetData>
  <mergeCells count="10">
    <mergeCell ref="B46:I47"/>
    <mergeCell ref="O17:R17"/>
    <mergeCell ref="B49:I49"/>
    <mergeCell ref="B9:I12"/>
    <mergeCell ref="B39:I41"/>
    <mergeCell ref="B5:I5"/>
    <mergeCell ref="B7:I7"/>
    <mergeCell ref="K17:N17"/>
    <mergeCell ref="K7:T15"/>
    <mergeCell ref="B44:I45"/>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G66"/>
  <sheetViews>
    <sheetView workbookViewId="0">
      <selection activeCell="L58" sqref="L58"/>
    </sheetView>
  </sheetViews>
  <sheetFormatPr baseColWidth="10" defaultColWidth="11.42578125" defaultRowHeight="15" x14ac:dyDescent="0.25"/>
  <cols>
    <col min="1" max="1" width="11.42578125" style="84"/>
    <col min="2" max="2" width="16.7109375" style="124" customWidth="1"/>
    <col min="3" max="5" width="11.42578125" style="124" customWidth="1"/>
    <col min="6" max="6" width="13.85546875" style="124" customWidth="1"/>
    <col min="7" max="7" width="11.42578125" style="124" customWidth="1"/>
    <col min="8" max="8" width="12" style="124" bestFit="1" customWidth="1"/>
    <col min="9" max="9" width="12.85546875" style="124" customWidth="1"/>
    <col min="10" max="10" width="5.7109375" style="84" customWidth="1"/>
    <col min="11" max="11" width="22.85546875" style="84" customWidth="1"/>
    <col min="12" max="12" width="14.42578125" style="84" customWidth="1"/>
    <col min="13" max="13" width="18.140625" style="84" customWidth="1"/>
    <col min="14" max="14" width="19.85546875" style="84" customWidth="1"/>
    <col min="15" max="15" width="21.7109375" style="84" customWidth="1"/>
    <col min="16" max="16" width="23.7109375" style="84" customWidth="1"/>
    <col min="17" max="17" width="17.28515625" style="84" customWidth="1"/>
    <col min="18" max="18" width="16.28515625" style="84" customWidth="1"/>
    <col min="19" max="16384" width="11.42578125" style="84"/>
  </cols>
  <sheetData>
    <row r="1" spans="2:33" x14ac:dyDescent="0.25">
      <c r="B1" s="84"/>
      <c r="C1" s="84"/>
      <c r="D1" s="84"/>
      <c r="E1" s="84"/>
      <c r="F1" s="84"/>
      <c r="G1" s="84"/>
      <c r="H1" s="84"/>
      <c r="I1" s="84"/>
    </row>
    <row r="4" spans="2:33" ht="15.75" thickBot="1" x14ac:dyDescent="0.3"/>
    <row r="5" spans="2:33" ht="15.75" thickBot="1" x14ac:dyDescent="0.3">
      <c r="B5" s="416" t="s">
        <v>183</v>
      </c>
      <c r="C5" s="417"/>
      <c r="D5" s="417"/>
      <c r="E5" s="417"/>
      <c r="F5" s="417"/>
      <c r="G5" s="417"/>
      <c r="H5" s="417"/>
      <c r="I5" s="418"/>
      <c r="K5" s="118" t="s">
        <v>216</v>
      </c>
      <c r="L5" s="118">
        <v>2</v>
      </c>
      <c r="M5" s="118" t="s">
        <v>217</v>
      </c>
    </row>
    <row r="6" spans="2:33" ht="15.75" thickBot="1" x14ac:dyDescent="0.3">
      <c r="B6" s="125"/>
    </row>
    <row r="7" spans="2:33" ht="15.75" customHeight="1" thickBot="1" x14ac:dyDescent="0.3">
      <c r="B7" s="419" t="s">
        <v>218</v>
      </c>
      <c r="C7" s="420"/>
      <c r="D7" s="420"/>
      <c r="E7" s="420"/>
      <c r="F7" s="420"/>
      <c r="G7" s="420"/>
      <c r="H7" s="420"/>
      <c r="I7" s="421"/>
      <c r="K7" s="453" t="s">
        <v>234</v>
      </c>
      <c r="L7" s="454"/>
      <c r="M7" s="454"/>
      <c r="N7" s="454"/>
      <c r="O7" s="454"/>
      <c r="P7" s="454"/>
      <c r="Q7" s="454"/>
      <c r="R7" s="455"/>
      <c r="U7" s="126"/>
      <c r="V7" s="126"/>
    </row>
    <row r="8" spans="2:33" ht="15.75" thickBot="1" x14ac:dyDescent="0.3">
      <c r="B8" s="127"/>
      <c r="K8" s="456"/>
      <c r="L8" s="457"/>
      <c r="M8" s="457"/>
      <c r="N8" s="457"/>
      <c r="O8" s="457"/>
      <c r="P8" s="457"/>
      <c r="Q8" s="457"/>
      <c r="R8" s="458"/>
      <c r="U8" s="126"/>
      <c r="V8" s="126"/>
      <c r="Y8" s="126"/>
      <c r="Z8" s="126"/>
      <c r="AA8" s="126"/>
      <c r="AB8" s="126"/>
      <c r="AC8" s="126"/>
      <c r="AD8" s="126"/>
      <c r="AE8" s="126"/>
      <c r="AF8" s="126"/>
      <c r="AG8" s="126"/>
    </row>
    <row r="9" spans="2:33" x14ac:dyDescent="0.25">
      <c r="B9" s="441" t="s">
        <v>219</v>
      </c>
      <c r="C9" s="442"/>
      <c r="D9" s="442"/>
      <c r="E9" s="442"/>
      <c r="F9" s="442"/>
      <c r="G9" s="442"/>
      <c r="H9" s="442"/>
      <c r="I9" s="443"/>
      <c r="K9" s="456"/>
      <c r="L9" s="457"/>
      <c r="M9" s="457"/>
      <c r="N9" s="457"/>
      <c r="O9" s="457"/>
      <c r="P9" s="457"/>
      <c r="Q9" s="457"/>
      <c r="R9" s="458"/>
    </row>
    <row r="10" spans="2:33" x14ac:dyDescent="0.25">
      <c r="B10" s="444"/>
      <c r="C10" s="445"/>
      <c r="D10" s="445"/>
      <c r="E10" s="445"/>
      <c r="F10" s="445"/>
      <c r="G10" s="445"/>
      <c r="H10" s="445"/>
      <c r="I10" s="446"/>
      <c r="K10" s="456"/>
      <c r="L10" s="457"/>
      <c r="M10" s="457"/>
      <c r="N10" s="457"/>
      <c r="O10" s="457"/>
      <c r="P10" s="457"/>
      <c r="Q10" s="457"/>
      <c r="R10" s="458"/>
    </row>
    <row r="11" spans="2:33" x14ac:dyDescent="0.25">
      <c r="B11" s="444"/>
      <c r="C11" s="445"/>
      <c r="D11" s="445"/>
      <c r="E11" s="445"/>
      <c r="F11" s="445"/>
      <c r="G11" s="445"/>
      <c r="H11" s="445"/>
      <c r="I11" s="446"/>
      <c r="K11" s="456"/>
      <c r="L11" s="457"/>
      <c r="M11" s="457"/>
      <c r="N11" s="457"/>
      <c r="O11" s="457"/>
      <c r="P11" s="457"/>
      <c r="Q11" s="457"/>
      <c r="R11" s="458"/>
    </row>
    <row r="12" spans="2:33" ht="15.75" thickBot="1" x14ac:dyDescent="0.3">
      <c r="B12" s="447"/>
      <c r="C12" s="448"/>
      <c r="D12" s="448"/>
      <c r="E12" s="448"/>
      <c r="F12" s="448"/>
      <c r="G12" s="448"/>
      <c r="H12" s="448"/>
      <c r="I12" s="449"/>
      <c r="K12" s="456"/>
      <c r="L12" s="457"/>
      <c r="M12" s="457"/>
      <c r="N12" s="457"/>
      <c r="O12" s="457"/>
      <c r="P12" s="457"/>
      <c r="Q12" s="457"/>
      <c r="R12" s="458"/>
    </row>
    <row r="13" spans="2:33" ht="15.75" thickBot="1" x14ac:dyDescent="0.3">
      <c r="B13" s="127"/>
      <c r="K13" s="456"/>
      <c r="L13" s="457"/>
      <c r="M13" s="457"/>
      <c r="N13" s="457"/>
      <c r="O13" s="457"/>
      <c r="P13" s="457"/>
      <c r="Q13" s="457"/>
      <c r="R13" s="458"/>
    </row>
    <row r="14" spans="2:33" x14ac:dyDescent="0.25">
      <c r="B14" s="128"/>
      <c r="C14" s="129"/>
      <c r="D14" s="129"/>
      <c r="E14" s="129"/>
      <c r="F14" s="129"/>
      <c r="G14" s="129"/>
      <c r="H14" s="129"/>
      <c r="I14" s="130"/>
      <c r="K14" s="456"/>
      <c r="L14" s="457"/>
      <c r="M14" s="457"/>
      <c r="N14" s="457"/>
      <c r="O14" s="457"/>
      <c r="P14" s="457"/>
      <c r="Q14" s="457"/>
      <c r="R14" s="458"/>
    </row>
    <row r="15" spans="2:33" ht="15.75" thickBot="1" x14ac:dyDescent="0.3">
      <c r="B15" s="131" t="s">
        <v>220</v>
      </c>
      <c r="I15" s="132"/>
      <c r="K15" s="459"/>
      <c r="L15" s="460"/>
      <c r="M15" s="460"/>
      <c r="N15" s="460"/>
      <c r="O15" s="460"/>
      <c r="P15" s="460"/>
      <c r="Q15" s="460"/>
      <c r="R15" s="461"/>
    </row>
    <row r="16" spans="2:33" x14ac:dyDescent="0.25">
      <c r="B16" s="131"/>
      <c r="I16" s="132"/>
    </row>
    <row r="17" spans="2:18" x14ac:dyDescent="0.25">
      <c r="B17" s="133" t="s">
        <v>221</v>
      </c>
      <c r="C17" s="134"/>
      <c r="D17" s="134"/>
      <c r="E17" s="135"/>
      <c r="F17" s="156">
        <f>17.43*2</f>
        <v>34.86</v>
      </c>
      <c r="I17" s="132"/>
      <c r="K17" s="463" t="s">
        <v>169</v>
      </c>
      <c r="L17" s="463"/>
      <c r="M17" s="463"/>
      <c r="N17" s="463"/>
      <c r="O17" s="463" t="s">
        <v>224</v>
      </c>
      <c r="P17" s="463"/>
      <c r="Q17" s="463"/>
      <c r="R17" s="463"/>
    </row>
    <row r="18" spans="2:18" x14ac:dyDescent="0.25">
      <c r="B18" s="133" t="s">
        <v>230</v>
      </c>
      <c r="C18" s="134"/>
      <c r="D18" s="134"/>
      <c r="E18" s="135"/>
      <c r="F18" s="156">
        <f>18*17.43</f>
        <v>313.74</v>
      </c>
      <c r="I18" s="132"/>
      <c r="K18" s="143" t="s">
        <v>170</v>
      </c>
      <c r="L18" s="143" t="s">
        <v>171</v>
      </c>
      <c r="M18" s="143" t="s">
        <v>172</v>
      </c>
      <c r="N18" s="143" t="s">
        <v>173</v>
      </c>
      <c r="O18" s="143" t="s">
        <v>202</v>
      </c>
      <c r="P18" s="143" t="s">
        <v>203</v>
      </c>
      <c r="Q18" s="143" t="s">
        <v>204</v>
      </c>
      <c r="R18" s="143" t="s">
        <v>205</v>
      </c>
    </row>
    <row r="19" spans="2:18" x14ac:dyDescent="0.25">
      <c r="B19" s="133" t="s">
        <v>197</v>
      </c>
      <c r="C19" s="134"/>
      <c r="D19" s="134"/>
      <c r="F19" s="156">
        <v>251.09</v>
      </c>
      <c r="I19" s="132"/>
      <c r="K19" s="149">
        <v>480.81</v>
      </c>
      <c r="L19" s="143">
        <v>2</v>
      </c>
      <c r="M19" s="149">
        <f>K19*L19</f>
        <v>961.62</v>
      </c>
      <c r="N19" s="149">
        <f>M19/12</f>
        <v>80.135000000000005</v>
      </c>
      <c r="O19" s="149">
        <v>480.81</v>
      </c>
      <c r="P19" s="149">
        <v>42</v>
      </c>
      <c r="Q19" s="149">
        <v>80.14</v>
      </c>
      <c r="R19" s="149">
        <f>O19+P19+Q19</f>
        <v>602.94999999999993</v>
      </c>
    </row>
    <row r="20" spans="2:18" x14ac:dyDescent="0.25">
      <c r="B20" s="133" t="s">
        <v>184</v>
      </c>
      <c r="C20" s="134"/>
      <c r="D20" s="134"/>
      <c r="F20" s="156"/>
      <c r="I20" s="132"/>
    </row>
    <row r="21" spans="2:18" x14ac:dyDescent="0.25">
      <c r="B21" s="133" t="s">
        <v>185</v>
      </c>
      <c r="C21" s="134"/>
      <c r="D21" s="134"/>
      <c r="F21" s="156"/>
      <c r="I21" s="132"/>
      <c r="K21" s="462" t="s">
        <v>222</v>
      </c>
      <c r="L21" s="462"/>
      <c r="M21" s="462"/>
      <c r="N21" s="450" t="s">
        <v>223</v>
      </c>
      <c r="O21" s="451"/>
      <c r="P21" s="451"/>
      <c r="Q21" s="451"/>
      <c r="R21" s="452"/>
    </row>
    <row r="22" spans="2:18" x14ac:dyDescent="0.25">
      <c r="B22" s="133" t="s">
        <v>232</v>
      </c>
      <c r="C22" s="134"/>
      <c r="D22" s="134"/>
      <c r="F22" s="156">
        <v>1743</v>
      </c>
      <c r="I22" s="132"/>
      <c r="K22" s="159" t="s">
        <v>225</v>
      </c>
      <c r="L22" s="159" t="s">
        <v>226</v>
      </c>
      <c r="M22" s="159" t="s">
        <v>172</v>
      </c>
      <c r="N22" s="162" t="s">
        <v>227</v>
      </c>
      <c r="O22" s="162" t="s">
        <v>228</v>
      </c>
      <c r="P22" s="162" t="s">
        <v>229</v>
      </c>
      <c r="Q22" s="162" t="s">
        <v>225</v>
      </c>
      <c r="R22" s="162" t="s">
        <v>172</v>
      </c>
    </row>
    <row r="23" spans="2:18" x14ac:dyDescent="0.25">
      <c r="B23" s="131"/>
      <c r="F23" s="157"/>
      <c r="I23" s="132"/>
      <c r="K23" s="158">
        <f>(480.81+42)/30</f>
        <v>17.427</v>
      </c>
      <c r="L23" s="159">
        <v>2</v>
      </c>
      <c r="M23" s="158">
        <f>K23*L23</f>
        <v>34.853999999999999</v>
      </c>
      <c r="N23" s="159">
        <f>30*9+2</f>
        <v>272</v>
      </c>
      <c r="O23" s="159">
        <v>30</v>
      </c>
      <c r="P23" s="161">
        <f>(N23*O23/360)-5</f>
        <v>17.666666666666668</v>
      </c>
      <c r="Q23" s="158">
        <f>(480.81+42)/30</f>
        <v>17.427</v>
      </c>
      <c r="R23" s="163">
        <f>P23*Q23</f>
        <v>307.87700000000001</v>
      </c>
    </row>
    <row r="24" spans="2:18" x14ac:dyDescent="0.25">
      <c r="B24" s="133" t="s">
        <v>186</v>
      </c>
      <c r="C24" s="134"/>
      <c r="D24" s="134"/>
      <c r="F24" s="156">
        <f>SUM(F17:F22)</f>
        <v>2342.69</v>
      </c>
      <c r="I24" s="132"/>
      <c r="K24" s="450" t="s">
        <v>231</v>
      </c>
      <c r="L24" s="451"/>
      <c r="M24" s="451"/>
      <c r="N24" s="452"/>
      <c r="O24" s="450" t="s">
        <v>233</v>
      </c>
      <c r="P24" s="451"/>
      <c r="Q24" s="451"/>
      <c r="R24" s="452"/>
    </row>
    <row r="25" spans="2:18" ht="15.75" thickBot="1" x14ac:dyDescent="0.3">
      <c r="B25" s="136"/>
      <c r="C25" s="137"/>
      <c r="D25" s="137"/>
      <c r="E25" s="137"/>
      <c r="F25" s="137"/>
      <c r="G25" s="137"/>
      <c r="H25" s="137"/>
      <c r="I25" s="138"/>
      <c r="K25" s="160">
        <f>2*480.81</f>
        <v>961.62</v>
      </c>
      <c r="L25" s="159">
        <v>360</v>
      </c>
      <c r="M25" s="164">
        <f>K25/L25</f>
        <v>2.6711666666666667</v>
      </c>
      <c r="N25" s="164">
        <f>(31+31+30+2)*M25</f>
        <v>251.08966666666666</v>
      </c>
      <c r="O25" s="159">
        <v>5</v>
      </c>
      <c r="P25" s="159">
        <v>20</v>
      </c>
      <c r="Q25" s="158">
        <v>17.43</v>
      </c>
      <c r="R25" s="163">
        <f>O25*P25*Q25</f>
        <v>1743</v>
      </c>
    </row>
    <row r="26" spans="2:18" ht="15.75" thickBot="1" x14ac:dyDescent="0.3">
      <c r="B26" s="127"/>
    </row>
    <row r="27" spans="2:18" ht="15" customHeight="1" x14ac:dyDescent="0.25">
      <c r="B27" s="139"/>
      <c r="C27" s="129"/>
      <c r="D27" s="129"/>
      <c r="E27" s="129"/>
      <c r="F27" s="129"/>
      <c r="G27" s="129"/>
      <c r="H27" s="129"/>
      <c r="I27" s="130"/>
      <c r="K27" s="144" t="s">
        <v>207</v>
      </c>
      <c r="L27" s="145"/>
      <c r="M27" s="145"/>
      <c r="N27" s="145"/>
      <c r="O27" s="145"/>
      <c r="P27" s="145"/>
      <c r="Q27" s="145"/>
      <c r="R27" s="120"/>
    </row>
    <row r="28" spans="2:18" x14ac:dyDescent="0.25">
      <c r="B28" s="140" t="s">
        <v>200</v>
      </c>
      <c r="F28" s="134">
        <f>602.95*(4.7+1.55+0.1)%</f>
        <v>38.287325000000003</v>
      </c>
      <c r="I28" s="132"/>
      <c r="K28" s="146" t="s">
        <v>208</v>
      </c>
      <c r="L28" s="119"/>
      <c r="M28" s="119"/>
      <c r="N28" s="119"/>
      <c r="O28" s="119"/>
      <c r="P28" s="119"/>
      <c r="Q28" s="119"/>
      <c r="R28" s="121"/>
    </row>
    <row r="29" spans="2:18" x14ac:dyDescent="0.25">
      <c r="B29" s="140"/>
      <c r="I29" s="132"/>
      <c r="K29" s="146" t="s">
        <v>209</v>
      </c>
      <c r="L29" s="119"/>
      <c r="M29" s="119"/>
      <c r="N29" s="119"/>
      <c r="O29" s="119"/>
      <c r="P29" s="119"/>
      <c r="Q29" s="119"/>
      <c r="R29" s="121"/>
    </row>
    <row r="30" spans="2:18" x14ac:dyDescent="0.25">
      <c r="B30" s="140" t="s">
        <v>235</v>
      </c>
      <c r="F30" s="134">
        <f>2342.69*15%</f>
        <v>351.40350000000001</v>
      </c>
      <c r="I30" s="132"/>
      <c r="K30" s="146" t="s">
        <v>210</v>
      </c>
      <c r="L30" s="119"/>
      <c r="M30" s="119"/>
      <c r="N30" s="119"/>
      <c r="O30" s="119"/>
      <c r="P30" s="119"/>
      <c r="Q30" s="119"/>
      <c r="R30" s="121"/>
    </row>
    <row r="31" spans="2:18" ht="15" customHeight="1" thickBot="1" x14ac:dyDescent="0.3">
      <c r="B31" s="141"/>
      <c r="C31" s="137"/>
      <c r="D31" s="137"/>
      <c r="E31" s="137"/>
      <c r="F31" s="137"/>
      <c r="G31" s="137"/>
      <c r="H31" s="137"/>
      <c r="I31" s="138"/>
      <c r="K31" s="146" t="s">
        <v>211</v>
      </c>
      <c r="L31" s="119"/>
      <c r="M31" s="119"/>
      <c r="N31" s="119"/>
      <c r="O31" s="119"/>
      <c r="P31" s="119"/>
      <c r="Q31" s="119"/>
      <c r="R31" s="121"/>
    </row>
    <row r="32" spans="2:18" ht="15.75" thickBot="1" x14ac:dyDescent="0.3">
      <c r="K32" s="146" t="s">
        <v>212</v>
      </c>
      <c r="L32" s="119"/>
      <c r="M32" s="119"/>
      <c r="N32" s="119"/>
      <c r="O32" s="119"/>
      <c r="P32" s="119"/>
      <c r="Q32" s="119"/>
      <c r="R32" s="121"/>
    </row>
    <row r="33" spans="2:18" x14ac:dyDescent="0.25">
      <c r="B33" s="139"/>
      <c r="C33" s="129"/>
      <c r="D33" s="129"/>
      <c r="E33" s="129"/>
      <c r="F33" s="129"/>
      <c r="G33" s="129"/>
      <c r="H33" s="129"/>
      <c r="I33" s="130"/>
      <c r="K33" s="146" t="s">
        <v>213</v>
      </c>
      <c r="R33" s="121"/>
    </row>
    <row r="34" spans="2:18" x14ac:dyDescent="0.25">
      <c r="B34" s="140" t="s">
        <v>188</v>
      </c>
      <c r="F34" s="134">
        <f>F28+F30</f>
        <v>389.69082500000002</v>
      </c>
      <c r="I34" s="132"/>
      <c r="K34" s="146" t="s">
        <v>214</v>
      </c>
      <c r="R34" s="121"/>
    </row>
    <row r="35" spans="2:18" ht="15" customHeight="1" thickBot="1" x14ac:dyDescent="0.3">
      <c r="B35" s="140"/>
      <c r="I35" s="132"/>
      <c r="K35" s="147" t="s">
        <v>215</v>
      </c>
      <c r="L35" s="122"/>
      <c r="M35" s="122"/>
      <c r="N35" s="122"/>
      <c r="O35" s="122"/>
      <c r="P35" s="122"/>
      <c r="Q35" s="122"/>
      <c r="R35" s="123"/>
    </row>
    <row r="36" spans="2:18" x14ac:dyDescent="0.25">
      <c r="B36" s="140" t="s">
        <v>189</v>
      </c>
      <c r="F36" s="134">
        <f>F24-F34</f>
        <v>1952.9991749999999</v>
      </c>
      <c r="I36" s="132"/>
    </row>
    <row r="37" spans="2:18" x14ac:dyDescent="0.25">
      <c r="B37" s="140"/>
      <c r="I37" s="132"/>
    </row>
    <row r="38" spans="2:18" x14ac:dyDescent="0.25">
      <c r="B38" s="140"/>
      <c r="I38" s="132"/>
    </row>
    <row r="39" spans="2:18" x14ac:dyDescent="0.25">
      <c r="B39" s="444" t="s">
        <v>187</v>
      </c>
      <c r="C39" s="445"/>
      <c r="D39" s="445"/>
      <c r="E39" s="445"/>
      <c r="F39" s="445"/>
      <c r="G39" s="445"/>
      <c r="H39" s="445"/>
      <c r="I39" s="446"/>
    </row>
    <row r="40" spans="2:18" x14ac:dyDescent="0.25">
      <c r="B40" s="444"/>
      <c r="C40" s="445"/>
      <c r="D40" s="445"/>
      <c r="E40" s="445"/>
      <c r="F40" s="445"/>
      <c r="G40" s="445"/>
      <c r="H40" s="445"/>
      <c r="I40" s="446"/>
    </row>
    <row r="41" spans="2:18" ht="15.75" thickBot="1" x14ac:dyDescent="0.3">
      <c r="B41" s="447"/>
      <c r="C41" s="448"/>
      <c r="D41" s="448"/>
      <c r="E41" s="448"/>
      <c r="F41" s="448"/>
      <c r="G41" s="448"/>
      <c r="H41" s="448"/>
      <c r="I41" s="449"/>
    </row>
    <row r="42" spans="2:18" x14ac:dyDescent="0.25">
      <c r="B42" s="127"/>
    </row>
    <row r="43" spans="2:18" ht="15.75" thickBot="1" x14ac:dyDescent="0.3">
      <c r="B43" s="127"/>
    </row>
    <row r="44" spans="2:18" x14ac:dyDescent="0.25">
      <c r="B44" s="426" t="s">
        <v>206</v>
      </c>
      <c r="C44" s="427"/>
      <c r="D44" s="427"/>
      <c r="E44" s="427"/>
      <c r="F44" s="427"/>
      <c r="G44" s="427"/>
      <c r="H44" s="427"/>
      <c r="I44" s="428"/>
    </row>
    <row r="45" spans="2:18" x14ac:dyDescent="0.25">
      <c r="B45" s="429"/>
      <c r="C45" s="430"/>
      <c r="D45" s="430"/>
      <c r="E45" s="430"/>
      <c r="F45" s="430"/>
      <c r="G45" s="430"/>
      <c r="H45" s="430"/>
      <c r="I45" s="431"/>
    </row>
    <row r="46" spans="2:18" x14ac:dyDescent="0.25">
      <c r="B46" s="432" t="s">
        <v>191</v>
      </c>
      <c r="C46" s="433"/>
      <c r="D46" s="433"/>
      <c r="E46" s="433"/>
      <c r="F46" s="433"/>
      <c r="G46" s="433"/>
      <c r="H46" s="433"/>
      <c r="I46" s="434"/>
    </row>
    <row r="47" spans="2:18" ht="15.75" thickBot="1" x14ac:dyDescent="0.3">
      <c r="B47" s="435"/>
      <c r="C47" s="436"/>
      <c r="D47" s="436"/>
      <c r="E47" s="436"/>
      <c r="F47" s="436"/>
      <c r="G47" s="436"/>
      <c r="H47" s="436"/>
      <c r="I47" s="437"/>
    </row>
    <row r="48" spans="2:18" ht="15.75" thickBot="1" x14ac:dyDescent="0.3">
      <c r="B48" s="142"/>
    </row>
    <row r="49" spans="2:9" ht="15.75" thickBot="1" x14ac:dyDescent="0.3">
      <c r="B49" s="438" t="s">
        <v>190</v>
      </c>
      <c r="C49" s="439"/>
      <c r="D49" s="439"/>
      <c r="E49" s="439"/>
      <c r="F49" s="439"/>
      <c r="G49" s="439"/>
      <c r="H49" s="439"/>
      <c r="I49" s="440"/>
    </row>
    <row r="58" spans="2:9" ht="15" customHeight="1" x14ac:dyDescent="0.25"/>
    <row r="59" spans="2:9" ht="15" customHeight="1" x14ac:dyDescent="0.25"/>
    <row r="65" ht="15" customHeight="1" x14ac:dyDescent="0.25"/>
    <row r="66" ht="15" customHeight="1" x14ac:dyDescent="0.25"/>
  </sheetData>
  <mergeCells count="14">
    <mergeCell ref="B5:I5"/>
    <mergeCell ref="B7:I7"/>
    <mergeCell ref="B9:I12"/>
    <mergeCell ref="K24:N24"/>
    <mergeCell ref="B49:I49"/>
    <mergeCell ref="K7:R15"/>
    <mergeCell ref="K21:M21"/>
    <mergeCell ref="N21:R21"/>
    <mergeCell ref="K17:N17"/>
    <mergeCell ref="O24:R24"/>
    <mergeCell ref="O17:R17"/>
    <mergeCell ref="B39:I41"/>
    <mergeCell ref="B44:I45"/>
    <mergeCell ref="B46:I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2015</vt:lpstr>
      <vt:lpstr>2016</vt:lpstr>
      <vt:lpstr>2017</vt:lpstr>
      <vt:lpstr>2018</vt:lpstr>
      <vt:lpstr>2019</vt:lpstr>
      <vt:lpstr>Hoja1</vt:lpstr>
      <vt:lpstr>Hoja2</vt:lpstr>
      <vt:lpstr>Hoja3</vt:lpstr>
      <vt:lpstr>Hoja4</vt:lpstr>
      <vt:lpstr>Hoja5</vt:lpstr>
      <vt:lpstr>Hoja6</vt:lpstr>
      <vt:lpstr>Hoja7</vt:lpstr>
      <vt:lpstr>Hoja8</vt:lpstr>
      <vt:lpstr>Hoja9</vt:lpstr>
      <vt:lpstr>Hoja10</vt:lpstr>
      <vt:lpstr>finiquito 1</vt:lpstr>
      <vt:lpstr>finiquito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2026-04-29T10:34:48Z</dcterms:modified>
</cp:coreProperties>
</file>